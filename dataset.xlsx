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ele/Desktop/AI_BBN_Rpart/"/>
    </mc:Choice>
  </mc:AlternateContent>
  <xr:revisionPtr revIDLastSave="0" documentId="13_ncr:1_{32506380-E176-AC4A-9B0E-478EC643D00F}" xr6:coauthVersionLast="47" xr6:coauthVersionMax="47" xr10:uidLastSave="{00000000-0000-0000-0000-000000000000}"/>
  <bookViews>
    <workbookView xWindow="0" yWindow="740" windowWidth="34560" windowHeight="21600" xr2:uid="{3F9F1B37-AD05-4A91-A28B-F56C9F5366A4}"/>
  </bookViews>
  <sheets>
    <sheet name="data" sheetId="4" r:id="rId1"/>
  </sheets>
  <externalReferences>
    <externalReference r:id="rId2"/>
  </externalReferences>
  <definedNames>
    <definedName name="_Order1" hidden="1">255</definedName>
    <definedName name="_Order2" hidden="1">255</definedName>
    <definedName name="\m">'[1]bpm5-734'!#REF!</definedName>
    <definedName name="\p">'[1]bpm5-734'!#REF!</definedName>
    <definedName name="CBS_Balance">#REF!</definedName>
    <definedName name="CURRENTYEAR">#REF!</definedName>
    <definedName name="LOOKUPMTH">#REF!</definedName>
    <definedName name="MACRO">'[1]bpm5-734'!#REF!</definedName>
    <definedName name="MAJOR_ECONOMIC_INDICATORS">#REF!</definedName>
    <definedName name="MEO">#REF!</definedName>
    <definedName name="Month">#REF!</definedName>
    <definedName name="Print_Area_MI">#REF!</definedName>
    <definedName name="w">'[1]bpm5-734'!#REF!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6" i="4" l="1"/>
  <c r="Z37" i="4"/>
  <c r="Z41" i="4" s="1"/>
  <c r="Z36" i="4"/>
  <c r="Z40" i="4" s="1"/>
  <c r="Z35" i="4"/>
  <c r="Z39" i="4" s="1"/>
  <c r="Z34" i="4"/>
  <c r="Y5" i="4"/>
  <c r="Y4" i="4"/>
  <c r="Y3" i="4"/>
  <c r="Y2" i="4"/>
  <c r="P21" i="4"/>
  <c r="P20" i="4"/>
  <c r="P19" i="4"/>
  <c r="P18" i="4"/>
  <c r="P22" i="4" s="1"/>
  <c r="Z38" i="4" l="1"/>
  <c r="Z42" i="4" s="1"/>
</calcChain>
</file>

<file path=xl/sharedStrings.xml><?xml version="1.0" encoding="utf-8"?>
<sst xmlns="http://schemas.openxmlformats.org/spreadsheetml/2006/main" count="45" uniqueCount="45">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</sst>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_(* #,##0.0_);_(* \(#,##0.0\);_(* &quot;-&quot;??_);_(@_)"/>
    <numFmt numFmtId="166" formatCode="0.0"/>
    <numFmt numFmtId="167" formatCode="mmm\-yyyy"/>
    <numFmt numFmtId="168" formatCode="_(* #,##0_);_(* \(#,##0\);_(* &quot;-&quot;??_);_(@_)"/>
    <numFmt numFmtId="169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9"/>
      <color theme="1"/>
      <name val="Open Sans"/>
    </font>
    <font>
      <sz val="9"/>
      <name val="Open Sans"/>
    </font>
    <font>
      <sz val="11"/>
      <color theme="1"/>
      <name val="Open Sans"/>
    </font>
    <font>
      <sz val="11"/>
      <name val="Open Sans SemiBold"/>
    </font>
    <font>
      <b/>
      <sz val="11"/>
      <name val="Open Sans SemiBold"/>
    </font>
    <font>
      <b/>
      <sz val="11"/>
      <color theme="1"/>
      <name val="Open Sans SemiBold"/>
    </font>
    <font>
      <b/>
      <sz val="12"/>
      <color theme="1"/>
      <name val="Open Sans SemiBold"/>
    </font>
    <font>
      <sz val="10"/>
      <color theme="1"/>
      <name val="Open Sans"/>
    </font>
    <font>
      <sz val="10"/>
      <name val="Open San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E7EEF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43" fontId="0" fillId="0" borderId="0" xfId="1" applyFont="1"/>
    <xf numFmtId="0" fontId="5" fillId="2" borderId="0" xfId="0" applyFont="1" applyFill="1"/>
    <xf numFmtId="165" fontId="5" fillId="2" borderId="0" xfId="1" applyNumberFormat="1" applyFont="1" applyFill="1" applyBorder="1"/>
    <xf numFmtId="165" fontId="6" fillId="2" borderId="0" xfId="1" applyNumberFormat="1" applyFont="1" applyFill="1" applyBorder="1"/>
    <xf numFmtId="167" fontId="5" fillId="2" borderId="0" xfId="0" applyNumberFormat="1" applyFont="1" applyFill="1"/>
    <xf numFmtId="165" fontId="5" fillId="3" borderId="0" xfId="1" applyNumberFormat="1" applyFont="1" applyFill="1" applyBorder="1"/>
    <xf numFmtId="165" fontId="5" fillId="2" borderId="0" xfId="1" applyNumberFormat="1" applyFont="1" applyFill="1" applyBorder="1" applyAlignment="1" applyProtection="1">
      <alignment vertical="center" wrapText="1"/>
    </xf>
    <xf numFmtId="165" fontId="6" fillId="2" borderId="0" xfId="1" applyNumberFormat="1" applyFont="1" applyFill="1" applyBorder="1" applyAlignment="1" applyProtection="1">
      <alignment vertical="top" wrapText="1"/>
      <protection locked="0"/>
    </xf>
    <xf numFmtId="165" fontId="6" fillId="2" borderId="0" xfId="1" applyNumberFormat="1" applyFont="1" applyFill="1" applyBorder="1" applyAlignment="1" applyProtection="1">
      <alignment horizontal="right" vertical="top" wrapText="1"/>
      <protection locked="0"/>
    </xf>
    <xf numFmtId="165" fontId="6" fillId="3" borderId="0" xfId="1" applyNumberFormat="1" applyFont="1" applyFill="1" applyBorder="1"/>
    <xf numFmtId="165" fontId="5" fillId="3" borderId="0" xfId="1" applyNumberFormat="1" applyFont="1" applyFill="1" applyBorder="1" applyAlignment="1">
      <alignment horizontal="left"/>
    </xf>
    <xf numFmtId="165" fontId="5" fillId="2" borderId="0" xfId="1" applyNumberFormat="1" applyFont="1" applyFill="1" applyBorder="1" applyAlignment="1">
      <alignment horizontal="left"/>
    </xf>
    <xf numFmtId="37" fontId="8" fillId="2" borderId="0" xfId="0" applyNumberFormat="1" applyFont="1" applyFill="1"/>
    <xf numFmtId="37" fontId="8" fillId="2" borderId="0" xfId="4" applyNumberFormat="1" applyFont="1" applyFill="1"/>
    <xf numFmtId="166" fontId="9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3" fontId="0" fillId="0" borderId="0" xfId="0" applyNumberFormat="1"/>
    <xf numFmtId="168" fontId="10" fillId="0" borderId="0" xfId="1" applyNumberFormat="1" applyFont="1" applyAlignment="1">
      <alignment horizontal="right"/>
    </xf>
    <xf numFmtId="168" fontId="11" fillId="0" borderId="0" xfId="1" applyNumberFormat="1" applyFont="1" applyFill="1" applyAlignment="1">
      <alignment horizontal="right"/>
    </xf>
    <xf numFmtId="168" fontId="10" fillId="0" borderId="0" xfId="1" applyNumberFormat="1" applyFont="1"/>
    <xf numFmtId="43" fontId="10" fillId="0" borderId="0" xfId="1" applyFont="1"/>
    <xf numFmtId="43" fontId="11" fillId="0" borderId="0" xfId="1" applyFont="1"/>
    <xf numFmtId="2" fontId="7" fillId="4" borderId="0" xfId="0" applyNumberFormat="1" applyFont="1" applyFill="1"/>
    <xf numFmtId="4" fontId="5" fillId="2" borderId="0" xfId="1" applyNumberFormat="1" applyFont="1" applyFill="1" applyBorder="1"/>
    <xf numFmtId="168" fontId="12" fillId="0" borderId="0" xfId="1" applyNumberFormat="1" applyFont="1"/>
    <xf numFmtId="3" fontId="12" fillId="0" borderId="0" xfId="0" applyNumberFormat="1" applyFont="1"/>
    <xf numFmtId="168" fontId="13" fillId="2" borderId="0" xfId="1" applyNumberFormat="1" applyFont="1" applyFill="1"/>
    <xf numFmtId="14" fontId="5" fillId="2" borderId="0" xfId="0" applyNumberFormat="1" applyFont="1" applyFill="1"/>
  </cellXfs>
  <cellStyles count="13">
    <cellStyle name="Comma" xfId="1" builtinId="3"/>
    <cellStyle name="Comma 2" xfId="8" xr:uid="{C81C58FC-D187-410D-946A-0A38ADE83A65}"/>
    <cellStyle name="Comma 3" xfId="9" xr:uid="{04C850E7-61E0-4808-A03A-2BE4C3894A3D}"/>
    <cellStyle name="Comma 3 2 2 2" xfId="11" xr:uid="{7FDFDCCC-6652-4809-98FB-02393FE82D7A}"/>
    <cellStyle name="Comma 4" xfId="3" xr:uid="{D8FF8D91-FFD3-47E0-839D-30B4DE93180F}"/>
    <cellStyle name="Normal" xfId="0" builtinId="0"/>
    <cellStyle name="Normal 10" xfId="5" xr:uid="{83AD3DC6-B25F-42CA-B841-95AAAACF85D6}"/>
    <cellStyle name="Normal 10 2 2" xfId="10" xr:uid="{A7A6D785-3024-4F2C-8CF1-8B6A277F8A0C}"/>
    <cellStyle name="Normal 19" xfId="4" xr:uid="{846E193E-3772-444C-85BA-536A8C17D4CE}"/>
    <cellStyle name="Normal 2" xfId="2" xr:uid="{9A890364-C55F-4EE3-83A6-9DE42AEBE640}"/>
    <cellStyle name="Normal 2 4" xfId="6" xr:uid="{5E3C0295-5B3C-4B96-A1E1-FDA6E55AF058}"/>
    <cellStyle name="Normal 3" xfId="12" xr:uid="{FD3C865C-9B35-2B42-A103-4EFB1DE8EF5A}"/>
    <cellStyle name="Percent 2" xfId="7" xr:uid="{505FEDF5-51FF-4988-97DC-D15031F8F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BPM%205%20-%20734%20Spreadsheets/bpm5-734-linked-hal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-DATA"/>
      <sheetName val="EVOLUTION"/>
      <sheetName val="reserves"/>
      <sheetName val="Inter. Invest.P"/>
      <sheetName val="FDI Stocks &amp; Flows"/>
      <sheetName val="flows"/>
      <sheetName val="stocks"/>
      <sheetName val="bpm5-734"/>
      <sheetName val="BPM5 In US$"/>
      <sheetName val="TBal. 6.2"/>
      <sheetName val="Domex 6.3"/>
      <sheetName val="Imports 6.4"/>
      <sheetName val="Exports"/>
      <sheetName val="GDP-qq-US-UK-JP-EU "/>
      <sheetName val="RSA-Brzl-China-Rusia-India=C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3B25-CC34-4AB7-96A6-2349D0024B28}">
  <sheetPr>
    <tabColor theme="9"/>
  </sheetPr>
  <dimension ref="A1:AS8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baseColWidth="10" defaultColWidth="8.83203125" defaultRowHeight="15" x14ac:dyDescent="0.2"/>
  <cols>
    <col min="2" max="4" width="8.83203125" bestFit="1" customWidth="1"/>
    <col min="5" max="5" width="10.1640625" bestFit="1" customWidth="1"/>
    <col min="6" max="11" width="8.83203125" bestFit="1" customWidth="1"/>
    <col min="12" max="12" width="13.6640625" bestFit="1" customWidth="1"/>
    <col min="13" max="13" width="8.83203125" bestFit="1" customWidth="1"/>
    <col min="14" max="14" width="9.1640625" bestFit="1" customWidth="1"/>
    <col min="15" max="15" width="9" bestFit="1" customWidth="1"/>
    <col min="16" max="16" width="9.1640625" bestFit="1" customWidth="1"/>
    <col min="17" max="17" width="9" bestFit="1" customWidth="1"/>
    <col min="18" max="22" width="8.83203125" bestFit="1" customWidth="1"/>
    <col min="23" max="23" width="9" bestFit="1" customWidth="1"/>
    <col min="24" max="25" width="8.83203125" bestFit="1" customWidth="1"/>
    <col min="26" max="26" width="9.1640625" bestFit="1" customWidth="1"/>
    <col min="27" max="27" width="8.83203125" bestFit="1" customWidth="1"/>
    <col min="28" max="28" width="9.1640625" bestFit="1" customWidth="1"/>
    <col min="29" max="29" width="9" bestFit="1" customWidth="1"/>
    <col min="30" max="31" width="8.83203125" bestFit="1" customWidth="1"/>
  </cols>
  <sheetData>
    <row r="1" spans="1:45" x14ac:dyDescent="0.2">
      <c r="A1" s="2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s="28">
        <v>38047</v>
      </c>
      <c r="B2" s="6">
        <v>6.81</v>
      </c>
      <c r="C2" s="3">
        <v>20.035</v>
      </c>
      <c r="D2" s="3">
        <v>13.565</v>
      </c>
      <c r="E2" s="6">
        <v>33.378140000000002</v>
      </c>
      <c r="F2" s="6">
        <v>3.9881733000000001</v>
      </c>
      <c r="G2" s="3">
        <v>23.750778287887318</v>
      </c>
      <c r="H2" s="6">
        <v>59.691409999999998</v>
      </c>
      <c r="I2" s="6">
        <v>78.018957405445121</v>
      </c>
      <c r="J2" s="6">
        <v>26.610950711575114</v>
      </c>
      <c r="K2" s="6">
        <v>26.007729999999999</v>
      </c>
      <c r="L2" s="3">
        <v>3418.355</v>
      </c>
      <c r="M2" s="3">
        <v>755.44200000000001</v>
      </c>
      <c r="N2" s="3">
        <v>717</v>
      </c>
      <c r="O2" s="3">
        <v>1447.771</v>
      </c>
      <c r="P2" s="3">
        <v>516.28599999999994</v>
      </c>
      <c r="Q2" s="3">
        <v>3023.567</v>
      </c>
      <c r="R2" s="3">
        <v>7.0000000000000009</v>
      </c>
      <c r="S2" s="3">
        <v>6.1940051083663183</v>
      </c>
      <c r="T2" s="3">
        <v>10.283255426802009</v>
      </c>
      <c r="U2" s="3">
        <v>207.6</v>
      </c>
      <c r="V2" s="7">
        <v>0.94991714477539102</v>
      </c>
      <c r="W2" s="3">
        <v>2287.0934999999999</v>
      </c>
      <c r="X2" s="3">
        <v>2.6068804734975419</v>
      </c>
      <c r="Y2" s="3">
        <f>AVERAGE(Y6,Y10,Y14)</f>
        <v>1749.7133666666666</v>
      </c>
      <c r="Z2" s="3">
        <v>1149.7393790000001</v>
      </c>
      <c r="AA2" s="3">
        <v>6.5789756666666674</v>
      </c>
      <c r="AB2" s="3">
        <v>7.0000000000000009</v>
      </c>
      <c r="AC2" s="3">
        <v>10692.56</v>
      </c>
      <c r="AD2" s="3">
        <v>94.6</v>
      </c>
      <c r="AE2" s="3">
        <v>1.5137816218413462</v>
      </c>
      <c r="AF2" s="3">
        <v>0.52296503685754636</v>
      </c>
      <c r="AG2" s="3">
        <v>-56.797954163868702</v>
      </c>
      <c r="AH2" s="3">
        <v>4206.2849999999999</v>
      </c>
      <c r="AI2" s="3">
        <v>10.598715719546274</v>
      </c>
      <c r="AJ2" s="27">
        <v>1660.66</v>
      </c>
      <c r="AK2" s="27">
        <v>78.018957405445121</v>
      </c>
      <c r="AL2" s="27"/>
      <c r="AM2" s="27"/>
      <c r="AN2" s="27"/>
      <c r="AO2" s="27"/>
      <c r="AP2" s="27"/>
      <c r="AQ2" s="27">
        <v>11.5</v>
      </c>
      <c r="AR2" s="27"/>
      <c r="AS2" s="27">
        <v>26.7</v>
      </c>
    </row>
    <row r="3" spans="1:45" x14ac:dyDescent="0.2">
      <c r="A3" s="28">
        <v>38139</v>
      </c>
      <c r="B3" s="3">
        <v>6.9320930000000001</v>
      </c>
      <c r="C3" s="8">
        <v>19.12</v>
      </c>
      <c r="D3" s="8">
        <v>14.405000000000001</v>
      </c>
      <c r="E3" s="3">
        <v>33.345889999999997</v>
      </c>
      <c r="F3" s="3">
        <v>3.9300334000000001</v>
      </c>
      <c r="G3" s="8">
        <v>18.29518199539762</v>
      </c>
      <c r="H3" s="3">
        <v>58.957749999999997</v>
      </c>
      <c r="I3" s="3">
        <v>78.74704740544513</v>
      </c>
      <c r="J3" s="3">
        <v>24.346829152945123</v>
      </c>
      <c r="K3" s="3">
        <v>25.59526</v>
      </c>
      <c r="L3" s="3">
        <v>3533.123</v>
      </c>
      <c r="M3" s="3">
        <v>764.55700000000002</v>
      </c>
      <c r="N3" s="3">
        <v>768.13</v>
      </c>
      <c r="O3" s="3">
        <v>1505.4639999999999</v>
      </c>
      <c r="P3" s="3">
        <v>523.98699999999997</v>
      </c>
      <c r="Q3" s="3">
        <v>3105.3209999999999</v>
      </c>
      <c r="R3" s="3">
        <v>5.4468338999999997</v>
      </c>
      <c r="S3" s="3">
        <v>5.7080642103623624</v>
      </c>
      <c r="T3" s="3">
        <v>8.8984894736993692</v>
      </c>
      <c r="U3" s="3">
        <v>207.60000000000002</v>
      </c>
      <c r="V3" s="7">
        <v>0.95795730590820294</v>
      </c>
      <c r="W3" s="3">
        <v>2385.3163</v>
      </c>
      <c r="X3" s="3">
        <v>1.0335047703672466</v>
      </c>
      <c r="Y3" s="3">
        <f>AVERAGE(Y7,Y11,Y15)</f>
        <v>2006.0247666666667</v>
      </c>
      <c r="Z3" s="3">
        <v>1237.7616009999999</v>
      </c>
      <c r="AA3" s="3">
        <v>6.9114486666666677</v>
      </c>
      <c r="AB3" s="3">
        <v>5.4468338999999997</v>
      </c>
      <c r="AC3" s="3">
        <v>10108.61</v>
      </c>
      <c r="AD3" s="3">
        <v>99.26</v>
      </c>
      <c r="AE3" s="3">
        <v>1.3974499245385914</v>
      </c>
      <c r="AF3" s="3">
        <v>0.5280119289332792</v>
      </c>
      <c r="AG3" s="3">
        <v>-55.666058010956803</v>
      </c>
      <c r="AH3" s="3">
        <v>4183.3649999999998</v>
      </c>
      <c r="AI3" s="3">
        <v>10.507269937399549</v>
      </c>
      <c r="AJ3" s="27">
        <v>1793.606</v>
      </c>
      <c r="AK3" s="27">
        <v>78.74704740544513</v>
      </c>
      <c r="AL3" s="27"/>
      <c r="AM3" s="27"/>
      <c r="AN3" s="27"/>
      <c r="AO3" s="27"/>
      <c r="AP3" s="27"/>
      <c r="AQ3" s="27">
        <v>11.5</v>
      </c>
      <c r="AR3" s="27"/>
      <c r="AS3" s="27">
        <v>26.827500000000001</v>
      </c>
    </row>
    <row r="4" spans="1:45" x14ac:dyDescent="0.2">
      <c r="A4" s="28">
        <v>38231</v>
      </c>
      <c r="B4" s="6">
        <v>7.0658839999999996</v>
      </c>
      <c r="C4" s="3">
        <v>17.285</v>
      </c>
      <c r="D4" s="3">
        <v>13.852500000000001</v>
      </c>
      <c r="E4" s="6">
        <v>33.281370000000003</v>
      </c>
      <c r="F4" s="6">
        <v>3.8395296999999999</v>
      </c>
      <c r="G4" s="3">
        <v>23.372590997698808</v>
      </c>
      <c r="H4" s="6">
        <v>58.096469999999997</v>
      </c>
      <c r="I4" s="6">
        <v>79.389647405445118</v>
      </c>
      <c r="J4" s="6">
        <v>22.112478628030988</v>
      </c>
      <c r="K4" s="6">
        <v>24.770320000000002</v>
      </c>
      <c r="L4" s="3">
        <v>3646.366</v>
      </c>
      <c r="M4" s="3">
        <v>862.44100000000003</v>
      </c>
      <c r="N4" s="3">
        <v>810.73099999999999</v>
      </c>
      <c r="O4" s="3">
        <v>1563.836</v>
      </c>
      <c r="P4" s="3">
        <v>569.17899999999997</v>
      </c>
      <c r="Q4" s="3">
        <v>3268.828</v>
      </c>
      <c r="R4" s="3">
        <v>4.2015703999999996</v>
      </c>
      <c r="S4" s="3">
        <v>6.7026448002380778</v>
      </c>
      <c r="T4" s="3">
        <v>6.2553311834142393</v>
      </c>
      <c r="U4" s="3">
        <v>212.2</v>
      </c>
      <c r="V4" s="7">
        <v>0.96822494506835899</v>
      </c>
      <c r="W4" s="3">
        <v>2248.1019999999994</v>
      </c>
      <c r="X4" s="3">
        <v>2.2695351621623656</v>
      </c>
      <c r="Y4" s="3">
        <f>AVERAGE(Y8,Y12,Y16)</f>
        <v>2330.2034666666664</v>
      </c>
      <c r="Z4" s="3">
        <v>1241.1543810000001</v>
      </c>
      <c r="AA4" s="3">
        <v>7.2726503333333339</v>
      </c>
      <c r="AB4" s="3">
        <v>4.2015703999999996</v>
      </c>
      <c r="AC4" s="3">
        <v>11761</v>
      </c>
      <c r="AD4" s="3">
        <v>95.68</v>
      </c>
      <c r="AE4" s="3">
        <v>1.635117957589614</v>
      </c>
      <c r="AF4" s="3">
        <v>0.54269890347510774</v>
      </c>
      <c r="AG4" s="3">
        <v>-55.698010429927599</v>
      </c>
      <c r="AH4" s="3">
        <v>4137.5240000000003</v>
      </c>
      <c r="AI4" s="3">
        <v>10.422173585343664</v>
      </c>
      <c r="AJ4" s="27">
        <v>1925.02</v>
      </c>
      <c r="AK4" s="27">
        <v>79.389647405445118</v>
      </c>
      <c r="AL4" s="27"/>
      <c r="AM4" s="27"/>
      <c r="AN4" s="27"/>
      <c r="AO4" s="27"/>
      <c r="AP4" s="27"/>
      <c r="AQ4" s="27">
        <v>11</v>
      </c>
      <c r="AR4" s="27"/>
      <c r="AS4" s="27">
        <v>26.954999999999998</v>
      </c>
    </row>
    <row r="5" spans="1:45" x14ac:dyDescent="0.2">
      <c r="A5" s="28">
        <v>38322</v>
      </c>
      <c r="B5" s="3">
        <v>7.1742330000000001</v>
      </c>
      <c r="C5" s="8">
        <v>15.45</v>
      </c>
      <c r="D5" s="8">
        <v>13.3</v>
      </c>
      <c r="E5" s="3">
        <v>33.184600000000003</v>
      </c>
      <c r="F5" s="3">
        <v>3.7075544999999996</v>
      </c>
      <c r="G5" s="8">
        <v>28.449999999999996</v>
      </c>
      <c r="H5" s="3">
        <v>57.273400000000002</v>
      </c>
      <c r="I5" s="3">
        <v>79.570057405445112</v>
      </c>
      <c r="J5" s="3">
        <v>19.673137233877821</v>
      </c>
      <c r="K5" s="3">
        <v>23.532910000000001</v>
      </c>
      <c r="L5" s="3">
        <v>3532.6146666666664</v>
      </c>
      <c r="M5" s="3">
        <v>844.35199999999998</v>
      </c>
      <c r="N5" s="3">
        <v>855.41399999999999</v>
      </c>
      <c r="O5" s="3">
        <v>1698.2819999999999</v>
      </c>
      <c r="P5" s="3">
        <v>536.48400000000004</v>
      </c>
      <c r="Q5" s="3">
        <v>3514.0889999999999</v>
      </c>
      <c r="R5" s="3">
        <v>3.3555217000000002</v>
      </c>
      <c r="S5" s="3">
        <v>4.340641282228086</v>
      </c>
      <c r="T5" s="3">
        <v>2.3805077533051739</v>
      </c>
      <c r="U5" s="3">
        <v>209</v>
      </c>
      <c r="V5" s="7">
        <v>0.96765922546386707</v>
      </c>
      <c r="W5" s="3">
        <v>2338.7658000000001</v>
      </c>
      <c r="X5" s="3">
        <v>2.0483949427330024</v>
      </c>
      <c r="Y5" s="3">
        <f>AVERAGE(Y9,Y13,Y17)</f>
        <v>2720.4330999999997</v>
      </c>
      <c r="Z5" s="3">
        <v>1250.9404919999999</v>
      </c>
      <c r="AA5" s="3">
        <v>7.6046176666666661</v>
      </c>
      <c r="AB5" s="3">
        <v>3.3555217000000002</v>
      </c>
      <c r="AC5" s="3">
        <v>12656.86</v>
      </c>
      <c r="AD5" s="3">
        <v>102.26</v>
      </c>
      <c r="AE5" s="3">
        <v>1.067930103335371</v>
      </c>
      <c r="AF5" s="3">
        <v>0.56681343230801462</v>
      </c>
      <c r="AG5" s="3">
        <v>-56.076169164183099</v>
      </c>
      <c r="AH5" s="3">
        <v>4068.7620000000002</v>
      </c>
      <c r="AI5" s="3">
        <v>10.343154106974781</v>
      </c>
      <c r="AJ5" s="27">
        <v>1971.954</v>
      </c>
      <c r="AK5" s="27">
        <v>79.570057405445112</v>
      </c>
      <c r="AL5" s="27"/>
      <c r="AM5" s="27"/>
      <c r="AN5" s="27"/>
      <c r="AO5" s="27"/>
      <c r="AP5" s="27"/>
      <c r="AQ5" s="27">
        <v>11</v>
      </c>
      <c r="AR5" s="27"/>
      <c r="AS5" s="27">
        <v>27.0825</v>
      </c>
    </row>
    <row r="6" spans="1:45" x14ac:dyDescent="0.2">
      <c r="A6" s="28">
        <v>38412</v>
      </c>
      <c r="B6" s="6">
        <v>7.2200009999999999</v>
      </c>
      <c r="C6" s="3">
        <v>14.56625</v>
      </c>
      <c r="D6" s="3">
        <v>12.8575</v>
      </c>
      <c r="E6" s="6">
        <v>33.055570000000003</v>
      </c>
      <c r="F6" s="6">
        <v>3.5250000000000004</v>
      </c>
      <c r="G6" s="3">
        <v>22.263535576338256</v>
      </c>
      <c r="H6" s="6">
        <v>56.654379999999996</v>
      </c>
      <c r="I6" s="6">
        <v>78.91154740544512</v>
      </c>
      <c r="J6" s="6">
        <v>18.15722062673256</v>
      </c>
      <c r="K6" s="6">
        <v>21.883030000000002</v>
      </c>
      <c r="L6" s="3">
        <v>4099.5460000000003</v>
      </c>
      <c r="M6" s="3">
        <v>865.30600000000004</v>
      </c>
      <c r="N6" s="3">
        <v>854.79499999999996</v>
      </c>
      <c r="O6" s="3">
        <v>1701.723</v>
      </c>
      <c r="P6" s="3">
        <v>599.92399999999998</v>
      </c>
      <c r="Q6" s="3">
        <v>3841.1030000000001</v>
      </c>
      <c r="R6" s="3">
        <v>2.9999998999999997</v>
      </c>
      <c r="S6" s="3">
        <v>4.1288361382971095</v>
      </c>
      <c r="T6" s="3">
        <v>-2.7034225652972275</v>
      </c>
      <c r="U6" s="3">
        <v>227.20000000000002</v>
      </c>
      <c r="V6" s="7">
        <v>0.96827629089355494</v>
      </c>
      <c r="W6" s="3">
        <v>2542.7289999999998</v>
      </c>
      <c r="X6" s="3">
        <v>1.3848001901000484</v>
      </c>
      <c r="Y6" s="3">
        <v>1106.3561999999999</v>
      </c>
      <c r="Z6" s="3">
        <v>1229.5521799999999</v>
      </c>
      <c r="AA6" s="3">
        <v>6.5479630000000002</v>
      </c>
      <c r="AB6" s="3">
        <v>2.9999998999999997</v>
      </c>
      <c r="AC6" s="3">
        <v>13298.58</v>
      </c>
      <c r="AD6" s="3">
        <v>100.28</v>
      </c>
      <c r="AE6" s="3">
        <v>1.0165997447253403</v>
      </c>
      <c r="AF6" s="3">
        <v>0.60017549795738279</v>
      </c>
      <c r="AG6" s="3">
        <v>-61.611503555784999</v>
      </c>
      <c r="AH6" s="3">
        <v>3977.0810000000001</v>
      </c>
      <c r="AI6" s="3">
        <v>11.620405666999622</v>
      </c>
      <c r="AJ6" s="27">
        <v>2112.607</v>
      </c>
      <c r="AK6" s="27">
        <v>78.91154740544512</v>
      </c>
      <c r="AL6" s="27"/>
      <c r="AM6" s="27"/>
      <c r="AN6" s="27"/>
      <c r="AO6" s="27"/>
      <c r="AP6" s="27"/>
      <c r="AQ6" s="27">
        <v>11</v>
      </c>
      <c r="AR6" s="27"/>
      <c r="AS6" s="27">
        <v>27.21</v>
      </c>
    </row>
    <row r="7" spans="1:45" x14ac:dyDescent="0.2">
      <c r="A7" s="28">
        <v>38504</v>
      </c>
      <c r="B7" s="3">
        <v>7.166048</v>
      </c>
      <c r="C7" s="8">
        <v>13.682500000000001</v>
      </c>
      <c r="D7" s="9">
        <v>12.414999999999999</v>
      </c>
      <c r="E7" s="3">
        <v>33.027729999999998</v>
      </c>
      <c r="F7" s="3">
        <v>3.2827584999999999</v>
      </c>
      <c r="G7" s="8">
        <v>16.077071152676513</v>
      </c>
      <c r="H7" s="3">
        <v>56.405250000000002</v>
      </c>
      <c r="I7" s="3">
        <v>77.037387405445116</v>
      </c>
      <c r="J7" s="3">
        <v>16.833450474008721</v>
      </c>
      <c r="K7" s="3">
        <v>20.859030000000001</v>
      </c>
      <c r="L7" s="3">
        <v>3236.1198333333336</v>
      </c>
      <c r="M7" s="3">
        <v>954.875</v>
      </c>
      <c r="N7" s="3">
        <v>929.476</v>
      </c>
      <c r="O7" s="3">
        <v>1670.768</v>
      </c>
      <c r="P7" s="3">
        <v>445.82533333333333</v>
      </c>
      <c r="Q7" s="3">
        <v>4068.72</v>
      </c>
      <c r="R7" s="3">
        <v>3.2263172</v>
      </c>
      <c r="S7" s="3">
        <v>7.3737712304583702</v>
      </c>
      <c r="T7" s="3">
        <v>-4.5038111442913413</v>
      </c>
      <c r="U7" s="3">
        <v>210.60000000000002</v>
      </c>
      <c r="V7" s="7">
        <v>0.96782836914062498</v>
      </c>
      <c r="W7" s="3">
        <v>2382.3317000000002</v>
      </c>
      <c r="X7" s="3">
        <v>1.9773912045951771</v>
      </c>
      <c r="Y7" s="3">
        <v>1187.4647</v>
      </c>
      <c r="Z7" s="3">
        <v>1231.40218</v>
      </c>
      <c r="AA7" s="3">
        <v>6.9604869999999996</v>
      </c>
      <c r="AB7" s="3">
        <v>3.2263172</v>
      </c>
      <c r="AC7" s="3">
        <v>14154.73</v>
      </c>
      <c r="AD7" s="3">
        <v>93.79</v>
      </c>
      <c r="AE7" s="3">
        <v>1.7945539735341924</v>
      </c>
      <c r="AF7" s="3">
        <v>0.6414131644957326</v>
      </c>
      <c r="AG7" s="3">
        <v>-60.471790262027298</v>
      </c>
      <c r="AH7" s="3">
        <v>3932.6439999999998</v>
      </c>
      <c r="AI7" s="3">
        <v>11.510766713766026</v>
      </c>
      <c r="AJ7" s="27">
        <v>2530.2040000000002</v>
      </c>
      <c r="AK7" s="27">
        <v>77.037387405445116</v>
      </c>
      <c r="AL7" s="27"/>
      <c r="AM7" s="27"/>
      <c r="AN7" s="27"/>
      <c r="AO7" s="27"/>
      <c r="AP7" s="27"/>
      <c r="AQ7" s="27">
        <v>10.5</v>
      </c>
      <c r="AR7" s="27">
        <v>100.68884343795416</v>
      </c>
      <c r="AS7" s="27">
        <v>27.33</v>
      </c>
    </row>
    <row r="8" spans="1:45" x14ac:dyDescent="0.2">
      <c r="A8" s="28">
        <v>38596</v>
      </c>
      <c r="B8" s="6">
        <v>7.069788</v>
      </c>
      <c r="C8" s="3">
        <v>13.491249999999999</v>
      </c>
      <c r="D8" s="3">
        <v>13.422500000000001</v>
      </c>
      <c r="E8" s="6">
        <v>33.101080000000003</v>
      </c>
      <c r="F8" s="6">
        <v>3.034475</v>
      </c>
      <c r="G8" s="3">
        <v>17.51364588131683</v>
      </c>
      <c r="H8" s="6">
        <v>56.224540000000005</v>
      </c>
      <c r="I8" s="6">
        <v>74.619437405445126</v>
      </c>
      <c r="J8" s="6">
        <v>16.594952795064263</v>
      </c>
      <c r="K8" s="6">
        <v>20.460909999999998</v>
      </c>
      <c r="L8" s="3">
        <v>4224.3559999999998</v>
      </c>
      <c r="M8" s="3">
        <v>973.31100000000004</v>
      </c>
      <c r="N8" s="3">
        <v>887.13099999999997</v>
      </c>
      <c r="O8" s="3">
        <v>1704.7760000000001</v>
      </c>
      <c r="P8" s="3">
        <v>630.13300000000004</v>
      </c>
      <c r="Q8" s="3">
        <v>4196.9380000000001</v>
      </c>
      <c r="R8" s="3">
        <v>3.7948431999999999</v>
      </c>
      <c r="S8" s="3">
        <v>5.5670671634547864</v>
      </c>
      <c r="T8" s="3">
        <v>-3.0995581154283665</v>
      </c>
      <c r="U8" s="3">
        <v>214.2</v>
      </c>
      <c r="V8" s="7">
        <v>0.97703285217285196</v>
      </c>
      <c r="W8" s="3">
        <v>2284.7732000000001</v>
      </c>
      <c r="X8" s="3">
        <v>3.3434009881924935</v>
      </c>
      <c r="Y8" s="3">
        <v>1309.1273999999999</v>
      </c>
      <c r="Z8" s="3">
        <v>1244.032183</v>
      </c>
      <c r="AA8" s="3">
        <v>5.1148939999999996</v>
      </c>
      <c r="AB8" s="3">
        <v>3.7948431999999999</v>
      </c>
      <c r="AC8" s="3">
        <v>16875.650000000001</v>
      </c>
      <c r="AD8" s="3">
        <v>99.61</v>
      </c>
      <c r="AE8" s="3">
        <v>1.3636185403032215</v>
      </c>
      <c r="AF8" s="3">
        <v>0.69000939216831492</v>
      </c>
      <c r="AG8" s="3">
        <v>-62.041693716943499</v>
      </c>
      <c r="AH8" s="3">
        <v>3935.4520000000002</v>
      </c>
      <c r="AI8" s="3">
        <v>11.37583365519486</v>
      </c>
      <c r="AJ8" s="27">
        <v>2450.0740000000001</v>
      </c>
      <c r="AK8" s="27">
        <v>74.619437405445126</v>
      </c>
      <c r="AL8" s="27"/>
      <c r="AM8" s="27"/>
      <c r="AN8" s="27"/>
      <c r="AO8" s="27"/>
      <c r="AP8" s="27"/>
      <c r="AQ8" s="27">
        <v>10.5</v>
      </c>
      <c r="AR8" s="27">
        <v>98.267985730533766</v>
      </c>
      <c r="AS8" s="27">
        <v>27.45</v>
      </c>
    </row>
    <row r="9" spans="1:45" x14ac:dyDescent="0.2">
      <c r="A9" s="28">
        <v>38687</v>
      </c>
      <c r="B9" s="3">
        <v>6.9886340000000002</v>
      </c>
      <c r="C9" s="8">
        <v>13.3</v>
      </c>
      <c r="D9" s="8">
        <v>14.430000000000001</v>
      </c>
      <c r="E9" s="3">
        <v>33.27561</v>
      </c>
      <c r="F9" s="3">
        <v>2.8337946000000001</v>
      </c>
      <c r="G9" s="8">
        <v>18.95022060995715</v>
      </c>
      <c r="H9" s="3">
        <v>55.810780000000001</v>
      </c>
      <c r="I9" s="3">
        <v>72.329527405445134</v>
      </c>
      <c r="J9" s="3">
        <v>17.853165712528096</v>
      </c>
      <c r="K9" s="3">
        <v>20.688659999999999</v>
      </c>
      <c r="L9" s="3">
        <v>4248.808</v>
      </c>
      <c r="M9" s="3">
        <v>1051.614</v>
      </c>
      <c r="N9" s="3">
        <v>962.43899999999996</v>
      </c>
      <c r="O9" s="3">
        <v>1718.35</v>
      </c>
      <c r="P9" s="3">
        <v>637.94349999999997</v>
      </c>
      <c r="Q9" s="3">
        <v>4225.759</v>
      </c>
      <c r="R9" s="3">
        <v>4.4659475999999998</v>
      </c>
      <c r="S9" s="3">
        <v>2.7044346939387065</v>
      </c>
      <c r="T9" s="3">
        <v>1.388247120839365</v>
      </c>
      <c r="U9" s="3">
        <v>216</v>
      </c>
      <c r="V9" s="7">
        <v>0.99167266845703095</v>
      </c>
      <c r="W9" s="3">
        <v>2338.3962000000001</v>
      </c>
      <c r="X9" s="3">
        <v>1.0874935472505141</v>
      </c>
      <c r="Y9" s="3">
        <v>1491.4618999999998</v>
      </c>
      <c r="Z9" s="3">
        <v>1245.2252390000001</v>
      </c>
      <c r="AA9" s="3">
        <v>5.3465039999999995</v>
      </c>
      <c r="AB9" s="3">
        <v>4.4659475999999998</v>
      </c>
      <c r="AC9" s="3">
        <v>18096.54</v>
      </c>
      <c r="AD9" s="3">
        <v>102.27</v>
      </c>
      <c r="AE9" s="3">
        <v>0.66935606296185313</v>
      </c>
      <c r="AF9" s="3">
        <v>0.7453643932002525</v>
      </c>
      <c r="AG9" s="3">
        <v>-64.723657654821295</v>
      </c>
      <c r="AH9" s="3">
        <v>3985.5039999999999</v>
      </c>
      <c r="AI9" s="3">
        <v>11.217442380317792</v>
      </c>
      <c r="AJ9" s="27">
        <v>2573.7109999999998</v>
      </c>
      <c r="AK9" s="27">
        <v>72.329527405445134</v>
      </c>
      <c r="AL9" s="27"/>
      <c r="AM9" s="27"/>
      <c r="AN9" s="27"/>
      <c r="AO9" s="27"/>
      <c r="AP9" s="27"/>
      <c r="AQ9" s="27">
        <v>10.5</v>
      </c>
      <c r="AR9" s="27">
        <v>99.434193889936452</v>
      </c>
      <c r="AS9" s="27">
        <v>27.57</v>
      </c>
    </row>
    <row r="10" spans="1:45" x14ac:dyDescent="0.2">
      <c r="A10" s="28">
        <v>38777</v>
      </c>
      <c r="B10" s="6">
        <v>6.9799999999999995</v>
      </c>
      <c r="C10" s="3">
        <v>16.922500000000003</v>
      </c>
      <c r="D10" s="3">
        <v>16.268750000000001</v>
      </c>
      <c r="E10" s="6">
        <v>33.55133</v>
      </c>
      <c r="F10" s="6">
        <v>2.7343620999999998</v>
      </c>
      <c r="G10" s="3">
        <v>16.863551912909784</v>
      </c>
      <c r="H10" s="6">
        <v>54.86251</v>
      </c>
      <c r="I10" s="6">
        <v>70.83949740544513</v>
      </c>
      <c r="J10" s="6">
        <v>19.856768929774169</v>
      </c>
      <c r="K10" s="6">
        <v>21.542300000000001</v>
      </c>
      <c r="L10" s="3">
        <v>4273.26</v>
      </c>
      <c r="M10" s="3">
        <v>1096.056</v>
      </c>
      <c r="N10" s="3">
        <v>925.36400000000003</v>
      </c>
      <c r="O10" s="3">
        <v>1745.106</v>
      </c>
      <c r="P10" s="3">
        <v>645.75400000000002</v>
      </c>
      <c r="Q10" s="3">
        <v>4155.1809999999996</v>
      </c>
      <c r="R10" s="3">
        <v>5.0000000999999994</v>
      </c>
      <c r="S10" s="3">
        <v>7.2161205816379637</v>
      </c>
      <c r="T10" s="3">
        <v>8.8015448571909847</v>
      </c>
      <c r="U10" s="3">
        <v>222.01499999999999</v>
      </c>
      <c r="V10" s="7">
        <v>1.0018161010742199</v>
      </c>
      <c r="W10" s="3">
        <v>2181.6731</v>
      </c>
      <c r="X10" s="3">
        <v>3.2273383535041509</v>
      </c>
      <c r="Y10" s="3">
        <v>1538.2259999999999</v>
      </c>
      <c r="Z10" s="3">
        <v>1249.99746</v>
      </c>
      <c r="AA10" s="3">
        <v>5.6939200000000003</v>
      </c>
      <c r="AB10" s="3">
        <v>5.0000000999999994</v>
      </c>
      <c r="AC10" s="3">
        <v>20351.740000000002</v>
      </c>
      <c r="AD10" s="3">
        <v>102.43</v>
      </c>
      <c r="AE10" s="3">
        <v>1.7571684316958169</v>
      </c>
      <c r="AF10" s="3">
        <v>0.80681402890418819</v>
      </c>
      <c r="AG10" s="3">
        <v>-68.446638992236302</v>
      </c>
      <c r="AH10" s="3">
        <v>4082.8020000000001</v>
      </c>
      <c r="AI10" s="3">
        <v>18.722921761225571</v>
      </c>
      <c r="AJ10" s="27">
        <v>2591.6239999999998</v>
      </c>
      <c r="AK10" s="27">
        <v>70.83949740544513</v>
      </c>
      <c r="AL10" s="27"/>
      <c r="AM10" s="27"/>
      <c r="AN10" s="27"/>
      <c r="AO10" s="27"/>
      <c r="AP10" s="27"/>
      <c r="AQ10" s="27">
        <v>10.5</v>
      </c>
      <c r="AR10" s="27">
        <v>101.14916783127283</v>
      </c>
      <c r="AS10" s="27">
        <v>27.69</v>
      </c>
    </row>
    <row r="11" spans="1:45" x14ac:dyDescent="0.2">
      <c r="A11" s="28">
        <v>38869</v>
      </c>
      <c r="B11" s="3">
        <v>7.1012979999999999</v>
      </c>
      <c r="C11" s="8">
        <v>20.544999999999998</v>
      </c>
      <c r="D11" s="8">
        <v>18.107500000000002</v>
      </c>
      <c r="E11" s="3">
        <v>33.63308</v>
      </c>
      <c r="F11" s="3">
        <v>2.7898227000000002</v>
      </c>
      <c r="G11" s="8">
        <v>14.776883215862419</v>
      </c>
      <c r="H11" s="3">
        <v>53.078249999999997</v>
      </c>
      <c r="I11" s="3">
        <v>70.821197405445133</v>
      </c>
      <c r="J11" s="3">
        <v>22.21503533865253</v>
      </c>
      <c r="K11" s="3">
        <v>22.478090000000002</v>
      </c>
      <c r="L11" s="3">
        <v>4277.7120000000004</v>
      </c>
      <c r="M11" s="3">
        <v>1080.72</v>
      </c>
      <c r="N11" s="3">
        <v>943.90200000000004</v>
      </c>
      <c r="O11" s="3">
        <v>1857.11</v>
      </c>
      <c r="P11" s="3">
        <v>645.22550000000001</v>
      </c>
      <c r="Q11" s="3">
        <v>4191.3280000000004</v>
      </c>
      <c r="R11" s="3">
        <v>5.1573703000000002</v>
      </c>
      <c r="S11" s="3">
        <v>5.8031519594174963</v>
      </c>
      <c r="T11" s="3">
        <v>12.690204558894644</v>
      </c>
      <c r="U11" s="3">
        <v>224.8</v>
      </c>
      <c r="V11" s="7">
        <v>0.99767875671386708</v>
      </c>
      <c r="W11" s="3">
        <v>2402.3360000000007</v>
      </c>
      <c r="X11" s="3">
        <v>1.0098770085463082</v>
      </c>
      <c r="Y11" s="3">
        <v>1673.4068</v>
      </c>
      <c r="Z11" s="3">
        <v>1261.447185</v>
      </c>
      <c r="AA11" s="3">
        <v>6.1100899999999996</v>
      </c>
      <c r="AB11" s="3">
        <v>5.1573703000000002</v>
      </c>
      <c r="AC11" s="3">
        <v>21237.87</v>
      </c>
      <c r="AD11" s="3">
        <v>90.7</v>
      </c>
      <c r="AE11" s="3">
        <v>1.4202436253424935</v>
      </c>
      <c r="AF11" s="3">
        <v>0.86717486600103422</v>
      </c>
      <c r="AG11" s="3">
        <v>-72.587895102608897</v>
      </c>
      <c r="AH11" s="3">
        <v>4224.7190000000001</v>
      </c>
      <c r="AI11" s="3">
        <v>18.430182358833388</v>
      </c>
      <c r="AJ11" s="27">
        <v>2776.1759999999999</v>
      </c>
      <c r="AK11" s="27">
        <v>70.821197405445133</v>
      </c>
      <c r="AL11" s="27"/>
      <c r="AM11" s="27"/>
      <c r="AN11" s="27"/>
      <c r="AO11" s="27"/>
      <c r="AP11" s="27"/>
      <c r="AQ11" s="27">
        <v>11</v>
      </c>
      <c r="AR11" s="27">
        <v>104.66196125176037</v>
      </c>
      <c r="AS11" s="27">
        <v>27.84</v>
      </c>
    </row>
    <row r="12" spans="1:45" x14ac:dyDescent="0.2">
      <c r="A12" s="28">
        <v>38961</v>
      </c>
      <c r="B12" s="6">
        <v>7.29305</v>
      </c>
      <c r="C12" s="3">
        <v>23.407499999999999</v>
      </c>
      <c r="D12" s="3">
        <v>18.783749999999998</v>
      </c>
      <c r="E12" s="6">
        <v>33.520879999999998</v>
      </c>
      <c r="F12" s="6">
        <v>2.9015001999999996</v>
      </c>
      <c r="G12" s="3">
        <v>17.98906347650091</v>
      </c>
      <c r="H12" s="6">
        <v>51.531790000000001</v>
      </c>
      <c r="I12" s="6">
        <v>71.85758740544513</v>
      </c>
      <c r="J12" s="6">
        <v>24.393775043379154</v>
      </c>
      <c r="K12" s="6">
        <v>23.49605</v>
      </c>
      <c r="L12" s="3">
        <v>4282.1639999999998</v>
      </c>
      <c r="M12" s="3">
        <v>1182.423</v>
      </c>
      <c r="N12" s="3">
        <v>942.36400000000003</v>
      </c>
      <c r="O12" s="3">
        <v>2062</v>
      </c>
      <c r="P12" s="3">
        <v>644.697</v>
      </c>
      <c r="Q12" s="3">
        <v>4334.1970000000001</v>
      </c>
      <c r="R12" s="3">
        <v>5.1011194999999994</v>
      </c>
      <c r="S12" s="3">
        <v>5.6401197121641156</v>
      </c>
      <c r="T12" s="3">
        <v>13.218650585731256</v>
      </c>
      <c r="U12" s="3">
        <v>234</v>
      </c>
      <c r="V12" s="7">
        <v>0.98925033569335896</v>
      </c>
      <c r="W12" s="3">
        <v>2293.4198000000001</v>
      </c>
      <c r="X12" s="3">
        <v>2.2022926721347749</v>
      </c>
      <c r="Y12" s="3">
        <v>1882.7773999999999</v>
      </c>
      <c r="Z12" s="3">
        <v>1365.5892490000001</v>
      </c>
      <c r="AA12" s="3">
        <v>6.5479630000000002</v>
      </c>
      <c r="AB12" s="3">
        <v>5.1011194999999994</v>
      </c>
      <c r="AC12" s="3">
        <v>22374.58</v>
      </c>
      <c r="AD12" s="3">
        <v>88.28</v>
      </c>
      <c r="AE12" s="3">
        <v>1.3811529745072448</v>
      </c>
      <c r="AF12" s="3">
        <v>0.92652244469904932</v>
      </c>
      <c r="AG12" s="3">
        <v>-73.002604704968306</v>
      </c>
      <c r="AH12" s="3">
        <v>4411.2569999999996</v>
      </c>
      <c r="AI12" s="3">
        <v>18.148976141734998</v>
      </c>
      <c r="AJ12" s="27">
        <v>2853.654</v>
      </c>
      <c r="AK12" s="27">
        <v>71.85758740544513</v>
      </c>
      <c r="AL12" s="27"/>
      <c r="AM12" s="27"/>
      <c r="AN12" s="27"/>
      <c r="AO12" s="27"/>
      <c r="AP12" s="27"/>
      <c r="AQ12" s="27">
        <v>11.5</v>
      </c>
      <c r="AR12" s="27">
        <v>106.20639072080955</v>
      </c>
      <c r="AS12" s="27">
        <v>27.99</v>
      </c>
    </row>
    <row r="13" spans="1:45" x14ac:dyDescent="0.2">
      <c r="A13" s="28">
        <v>39052</v>
      </c>
      <c r="B13" s="3">
        <v>7.4957769999999995</v>
      </c>
      <c r="C13" s="8">
        <v>26.27</v>
      </c>
      <c r="D13" s="8">
        <v>19.46</v>
      </c>
      <c r="E13" s="3">
        <v>33.214709999999997</v>
      </c>
      <c r="F13" s="3">
        <v>2.9707181999999999</v>
      </c>
      <c r="G13" s="8">
        <v>21.201243737139404</v>
      </c>
      <c r="H13" s="3">
        <v>51.29692</v>
      </c>
      <c r="I13" s="3">
        <v>73.531637405445125</v>
      </c>
      <c r="J13" s="3">
        <v>26.659369985508881</v>
      </c>
      <c r="K13" s="3">
        <v>24.596170000000001</v>
      </c>
      <c r="L13" s="3">
        <v>5132.5020000000004</v>
      </c>
      <c r="M13" s="3">
        <v>1107.3499999999999</v>
      </c>
      <c r="N13" s="3">
        <v>1013.246</v>
      </c>
      <c r="O13" s="3">
        <v>2031.3920000000001</v>
      </c>
      <c r="P13" s="3">
        <v>701.75599999999997</v>
      </c>
      <c r="Q13" s="3">
        <v>4583.79</v>
      </c>
      <c r="R13" s="3">
        <v>4.9943090000000003</v>
      </c>
      <c r="S13" s="3">
        <v>5.6470526927212994</v>
      </c>
      <c r="T13" s="3">
        <v>10.53861575494582</v>
      </c>
      <c r="U13" s="3">
        <v>231.4</v>
      </c>
      <c r="V13" s="7">
        <v>0.98723419189453099</v>
      </c>
      <c r="W13" s="3">
        <v>2357.8283999999999</v>
      </c>
      <c r="X13" s="3">
        <v>2.9646466351472052</v>
      </c>
      <c r="Y13" s="3">
        <v>2186.4552999999996</v>
      </c>
      <c r="Z13" s="3">
        <v>1392.510788</v>
      </c>
      <c r="AA13" s="3">
        <v>6.9604869999999996</v>
      </c>
      <c r="AB13" s="3">
        <v>4.9943090000000003</v>
      </c>
      <c r="AC13" s="3">
        <v>24915.200000000001</v>
      </c>
      <c r="AD13" s="3">
        <v>92.7</v>
      </c>
      <c r="AE13" s="3">
        <v>1.382817923252901</v>
      </c>
      <c r="AF13" s="3">
        <v>0.98492654604454666</v>
      </c>
      <c r="AG13" s="3">
        <v>-77.234015038162099</v>
      </c>
      <c r="AH13" s="3">
        <v>4642.4139999999998</v>
      </c>
      <c r="AI13" s="3">
        <v>17.878662844363706</v>
      </c>
      <c r="AJ13" s="27">
        <v>2506.7260000000001</v>
      </c>
      <c r="AK13" s="27">
        <v>73.531637405445125</v>
      </c>
      <c r="AL13" s="27"/>
      <c r="AM13" s="27"/>
      <c r="AN13" s="27"/>
      <c r="AO13" s="27"/>
      <c r="AP13" s="27"/>
      <c r="AQ13" s="27">
        <v>12.5</v>
      </c>
      <c r="AR13" s="27">
        <v>105.96831909664918</v>
      </c>
      <c r="AS13" s="27">
        <v>28.14</v>
      </c>
    </row>
    <row r="14" spans="1:45" x14ac:dyDescent="0.2">
      <c r="A14" s="28">
        <v>39142</v>
      </c>
      <c r="B14" s="6">
        <v>7.6500009999999996</v>
      </c>
      <c r="C14" s="3">
        <v>24.3475</v>
      </c>
      <c r="D14" s="3">
        <v>19.581250000000001</v>
      </c>
      <c r="E14" s="6">
        <v>32.714579999999998</v>
      </c>
      <c r="F14" s="6">
        <v>2.8988005999999999</v>
      </c>
      <c r="G14" s="3">
        <v>17.310202364548609</v>
      </c>
      <c r="H14" s="6">
        <v>53.447420000000001</v>
      </c>
      <c r="I14" s="6">
        <v>75.426317405445133</v>
      </c>
      <c r="J14" s="6">
        <v>24.99216752297535</v>
      </c>
      <c r="K14" s="6">
        <v>25.778449999999999</v>
      </c>
      <c r="L14" s="3">
        <v>5222.5249999999996</v>
      </c>
      <c r="M14" s="3">
        <v>1259.7190000000001</v>
      </c>
      <c r="N14" s="3">
        <v>1048.643</v>
      </c>
      <c r="O14" s="3">
        <v>2157.92</v>
      </c>
      <c r="P14" s="3">
        <v>743.25599999999997</v>
      </c>
      <c r="Q14" s="3">
        <v>4940.1059999999998</v>
      </c>
      <c r="R14" s="3">
        <v>5</v>
      </c>
      <c r="S14" s="3">
        <v>6.6545673264900795</v>
      </c>
      <c r="T14" s="3">
        <v>4.7902971698644157</v>
      </c>
      <c r="U14" s="3">
        <v>253.20000000000002</v>
      </c>
      <c r="V14" s="7">
        <v>0.9787034606933589</v>
      </c>
      <c r="W14" s="3">
        <v>2301.6826000000001</v>
      </c>
      <c r="X14" s="3">
        <v>2.3900383199908943</v>
      </c>
      <c r="Y14" s="3">
        <v>2604.5578999999998</v>
      </c>
      <c r="Z14" s="3">
        <v>1392.510788</v>
      </c>
      <c r="AA14" s="3">
        <v>7.3476619999999997</v>
      </c>
      <c r="AB14" s="3">
        <v>5</v>
      </c>
      <c r="AC14" s="3">
        <v>27267.24</v>
      </c>
      <c r="AD14" s="3">
        <v>88.91</v>
      </c>
      <c r="AE14" s="3">
        <v>1.6236720047158997</v>
      </c>
      <c r="AF14" s="3">
        <v>1.0424525638606326</v>
      </c>
      <c r="AG14" s="3">
        <v>-80.221448827043503</v>
      </c>
      <c r="AH14" s="3">
        <v>4918.1909999999998</v>
      </c>
      <c r="AI14" s="3">
        <v>16.511884212275728</v>
      </c>
      <c r="AJ14" s="27">
        <v>2676.1669999999999</v>
      </c>
      <c r="AK14" s="27">
        <v>75.426317405445133</v>
      </c>
      <c r="AL14" s="27"/>
      <c r="AM14" s="27"/>
      <c r="AN14" s="27"/>
      <c r="AO14" s="27"/>
      <c r="AP14" s="27"/>
      <c r="AQ14" s="27">
        <v>7.25</v>
      </c>
      <c r="AR14" s="27">
        <v>107.43592327986836</v>
      </c>
      <c r="AS14" s="27">
        <v>28.29</v>
      </c>
    </row>
    <row r="15" spans="1:45" x14ac:dyDescent="0.2">
      <c r="A15" s="28">
        <v>39234</v>
      </c>
      <c r="B15" s="3">
        <v>7.6962429999999991</v>
      </c>
      <c r="C15" s="8">
        <v>22.425000000000001</v>
      </c>
      <c r="D15" s="8">
        <v>19.702500000000001</v>
      </c>
      <c r="E15" s="3">
        <v>32.528700000000001</v>
      </c>
      <c r="F15" s="3">
        <v>2.5870711000000002</v>
      </c>
      <c r="G15" s="8">
        <v>13.419160991957815</v>
      </c>
      <c r="H15" s="3">
        <v>59.057069999999996</v>
      </c>
      <c r="I15" s="3">
        <v>77.124607405445119</v>
      </c>
      <c r="J15" s="3">
        <v>21.533855357899334</v>
      </c>
      <c r="K15" s="3">
        <v>25.97335</v>
      </c>
      <c r="L15" s="3">
        <v>5813.4737874800003</v>
      </c>
      <c r="M15" s="3">
        <v>1278.8209999999999</v>
      </c>
      <c r="N15" s="3">
        <v>1085.403</v>
      </c>
      <c r="O15" s="3">
        <v>2458.3620000000001</v>
      </c>
      <c r="P15" s="3">
        <v>772.702</v>
      </c>
      <c r="Q15" s="3">
        <v>5207.3429999999998</v>
      </c>
      <c r="R15" s="3">
        <v>5.2812538</v>
      </c>
      <c r="S15" s="3">
        <v>3.318742191486268</v>
      </c>
      <c r="T15" s="3">
        <v>1.1547243431882035</v>
      </c>
      <c r="U15" s="3">
        <v>232.7</v>
      </c>
      <c r="V15" s="7">
        <v>0.97030487060546899</v>
      </c>
      <c r="W15" s="3">
        <v>2452.0343000000003</v>
      </c>
      <c r="X15" s="3">
        <v>1.7309284061160224</v>
      </c>
      <c r="Y15" s="3">
        <v>3157.2028</v>
      </c>
      <c r="Z15" s="3">
        <v>1393.673288</v>
      </c>
      <c r="AA15" s="3">
        <v>7.7165140000000001</v>
      </c>
      <c r="AB15" s="3">
        <v>5.2812538</v>
      </c>
      <c r="AC15" s="3">
        <v>28337.22</v>
      </c>
      <c r="AD15" s="3">
        <v>92.69</v>
      </c>
      <c r="AE15" s="3">
        <v>0.81955799541208307</v>
      </c>
      <c r="AF15" s="3">
        <v>1.0898981496315441</v>
      </c>
      <c r="AG15" s="3">
        <v>-84.185895749744802</v>
      </c>
      <c r="AH15" s="3">
        <v>5170.01</v>
      </c>
      <c r="AI15" s="3">
        <v>16.280234781892275</v>
      </c>
      <c r="AJ15" s="27">
        <v>2704.578</v>
      </c>
      <c r="AK15" s="27">
        <v>77.124607405445119</v>
      </c>
      <c r="AL15" s="27"/>
      <c r="AM15" s="27"/>
      <c r="AN15" s="27"/>
      <c r="AO15" s="27"/>
      <c r="AP15" s="27"/>
      <c r="AQ15" s="27">
        <v>10.75</v>
      </c>
      <c r="AR15" s="27">
        <v>109.18771697882191</v>
      </c>
      <c r="AS15" s="27">
        <v>28.18</v>
      </c>
    </row>
    <row r="16" spans="1:45" x14ac:dyDescent="0.2">
      <c r="A16" s="28">
        <v>39326</v>
      </c>
      <c r="B16" s="6">
        <v>7.6697949999999997</v>
      </c>
      <c r="C16" s="3">
        <v>23.020000000000003</v>
      </c>
      <c r="D16" s="3">
        <v>20.224999999999998</v>
      </c>
      <c r="E16" s="6">
        <v>32.657060000000001</v>
      </c>
      <c r="F16" s="6">
        <v>2.2075969</v>
      </c>
      <c r="G16" s="3">
        <v>14.098022103910118</v>
      </c>
      <c r="H16" s="6">
        <v>66.061369999999997</v>
      </c>
      <c r="I16" s="6">
        <v>78.405837405445126</v>
      </c>
      <c r="J16" s="6">
        <v>17.197627510196391</v>
      </c>
      <c r="K16" s="6">
        <v>25.18085</v>
      </c>
      <c r="L16" s="3">
        <v>5698.6967555849997</v>
      </c>
      <c r="M16" s="3">
        <v>1310.51</v>
      </c>
      <c r="N16" s="3">
        <v>1061.8309999999999</v>
      </c>
      <c r="O16" s="3">
        <v>2384.0250000000001</v>
      </c>
      <c r="P16" s="3">
        <v>821.72299999999996</v>
      </c>
      <c r="Q16" s="3">
        <v>5385.5020000000004</v>
      </c>
      <c r="R16" s="3">
        <v>5.8602312000000003</v>
      </c>
      <c r="S16" s="3">
        <v>4.7707883863599143</v>
      </c>
      <c r="T16" s="3">
        <v>-0.45914955441380845</v>
      </c>
      <c r="U16" s="3">
        <v>249.9</v>
      </c>
      <c r="V16" s="7">
        <v>0.97254013061523392</v>
      </c>
      <c r="W16" s="3">
        <v>2583.9655999999995</v>
      </c>
      <c r="X16" s="3">
        <v>3.1219607694350646</v>
      </c>
      <c r="Y16" s="3">
        <v>3798.7056000000002</v>
      </c>
      <c r="Z16" s="3">
        <v>1393.673288</v>
      </c>
      <c r="AA16" s="3">
        <v>8.0740700000000007</v>
      </c>
      <c r="AB16" s="3">
        <v>5.8602312000000003</v>
      </c>
      <c r="AC16" s="3">
        <v>29959.19</v>
      </c>
      <c r="AD16" s="3">
        <v>90.76</v>
      </c>
      <c r="AE16" s="3">
        <v>1.1719351832540923</v>
      </c>
      <c r="AF16" s="3">
        <v>1.1277254188278358</v>
      </c>
      <c r="AG16" s="3">
        <v>-87.578157120453795</v>
      </c>
      <c r="AH16" s="3">
        <v>5397.8720000000003</v>
      </c>
      <c r="AI16" s="3">
        <v>16.059898144367608</v>
      </c>
      <c r="AJ16" s="27">
        <v>2937.7150000000001</v>
      </c>
      <c r="AK16" s="27">
        <v>78.405837405445126</v>
      </c>
      <c r="AL16" s="27"/>
      <c r="AM16" s="27"/>
      <c r="AN16" s="27"/>
      <c r="AO16" s="27"/>
      <c r="AP16" s="27"/>
      <c r="AQ16" s="27">
        <v>7.25</v>
      </c>
      <c r="AR16" s="27">
        <v>112.0475631100752</v>
      </c>
      <c r="AS16" s="27">
        <v>28.07</v>
      </c>
    </row>
    <row r="17" spans="1:45" x14ac:dyDescent="0.2">
      <c r="A17" s="28">
        <v>39417</v>
      </c>
      <c r="B17" s="3">
        <v>7.60595</v>
      </c>
      <c r="C17" s="8">
        <v>23.614999999999998</v>
      </c>
      <c r="D17" s="8">
        <v>20.747499999999999</v>
      </c>
      <c r="E17" s="3">
        <v>33.099670000000003</v>
      </c>
      <c r="F17" s="3">
        <v>1.9324451999999999</v>
      </c>
      <c r="G17" s="8">
        <v>14.776883215862419</v>
      </c>
      <c r="H17" s="3">
        <v>72.395809999999997</v>
      </c>
      <c r="I17" s="3">
        <v>79.049357405445136</v>
      </c>
      <c r="J17" s="3">
        <v>12.119282827477003</v>
      </c>
      <c r="K17" s="3">
        <v>23.400960000000001</v>
      </c>
      <c r="L17" s="3">
        <v>6711.7571279650001</v>
      </c>
      <c r="M17" s="3">
        <v>1426.3530000000001</v>
      </c>
      <c r="N17" s="3">
        <v>1033.7660000000001</v>
      </c>
      <c r="O17" s="3">
        <v>2737.0039999999999</v>
      </c>
      <c r="P17" s="3">
        <v>1268.3610857389999</v>
      </c>
      <c r="Q17" s="3">
        <v>5474.5810000000001</v>
      </c>
      <c r="R17" s="3">
        <v>6.759093</v>
      </c>
      <c r="S17" s="3">
        <v>5.7899513366674649</v>
      </c>
      <c r="T17" s="3">
        <v>-0.133797089378484</v>
      </c>
      <c r="U17" s="3">
        <v>241.2</v>
      </c>
      <c r="V17" s="7">
        <v>0.97274604797363295</v>
      </c>
      <c r="W17" s="3">
        <v>2620.5100000000002</v>
      </c>
      <c r="X17" s="3">
        <v>1.4568699017338849</v>
      </c>
      <c r="Y17" s="3">
        <v>4483.3820999999998</v>
      </c>
      <c r="Z17" s="3">
        <v>1600.998644</v>
      </c>
      <c r="AA17" s="3">
        <v>8.4273550000000004</v>
      </c>
      <c r="AB17" s="3">
        <v>6.759093</v>
      </c>
      <c r="AC17" s="3">
        <v>28957.97</v>
      </c>
      <c r="AD17" s="3">
        <v>92.84</v>
      </c>
      <c r="AE17" s="3">
        <v>1.4170797245472926</v>
      </c>
      <c r="AF17" s="3">
        <v>1.1563539989647418</v>
      </c>
      <c r="AG17" s="3">
        <v>-93.571735226808102</v>
      </c>
      <c r="AH17" s="3">
        <v>5601.7749999999996</v>
      </c>
      <c r="AI17" s="3">
        <v>15.850221746627147</v>
      </c>
      <c r="AJ17" s="27">
        <v>2984.154</v>
      </c>
      <c r="AK17" s="27">
        <v>79.049357405445136</v>
      </c>
      <c r="AL17" s="27"/>
      <c r="AM17" s="27"/>
      <c r="AN17" s="27"/>
      <c r="AO17" s="27"/>
      <c r="AP17" s="27"/>
      <c r="AQ17" s="27">
        <v>7.25</v>
      </c>
      <c r="AR17" s="27">
        <v>114.83992109069113</v>
      </c>
      <c r="AS17" s="27">
        <v>27.96</v>
      </c>
    </row>
    <row r="18" spans="1:45" x14ac:dyDescent="0.2">
      <c r="A18" s="28">
        <v>39508</v>
      </c>
      <c r="B18" s="6">
        <v>7.54</v>
      </c>
      <c r="C18" s="3">
        <v>18.612083333333331</v>
      </c>
      <c r="D18" s="3">
        <v>16.235833333333336</v>
      </c>
      <c r="E18" s="6">
        <v>33.856520000000003</v>
      </c>
      <c r="F18" s="6">
        <v>1.9336833</v>
      </c>
      <c r="G18" s="3">
        <v>18.812429951265553</v>
      </c>
      <c r="H18" s="6">
        <v>75.99588</v>
      </c>
      <c r="I18" s="6">
        <v>78.834507405445123</v>
      </c>
      <c r="J18" s="6">
        <v>9.299444691974859</v>
      </c>
      <c r="K18" s="6">
        <v>20.633690000000001</v>
      </c>
      <c r="L18" s="3">
        <v>4531.777</v>
      </c>
      <c r="M18" s="3">
        <v>1347.662</v>
      </c>
      <c r="N18" s="3">
        <v>996.07500000000005</v>
      </c>
      <c r="O18" s="3">
        <v>3119.6219999999998</v>
      </c>
      <c r="P18" s="3">
        <f>(AVERAGE(P14,P10,P6))/1000</f>
        <v>0.66297799999999996</v>
      </c>
      <c r="Q18" s="4">
        <v>5485.1859999999997</v>
      </c>
      <c r="R18" s="3">
        <v>8.0000001000000012</v>
      </c>
      <c r="S18" s="3">
        <v>1.6906452207375189</v>
      </c>
      <c r="T18" s="3">
        <v>2.0560736319989119</v>
      </c>
      <c r="U18" s="4">
        <v>252.29999999999998</v>
      </c>
      <c r="V18" s="7">
        <v>0.98007156372070303</v>
      </c>
      <c r="W18" s="3">
        <v>2742.2703000000001</v>
      </c>
      <c r="X18" s="3">
        <v>2.1636113316147694</v>
      </c>
      <c r="Y18" s="3">
        <v>5165.5480000000007</v>
      </c>
      <c r="Z18" s="3">
        <v>1624.8936189999999</v>
      </c>
      <c r="AA18" s="3">
        <v>8.776368999999999</v>
      </c>
      <c r="AB18" s="3">
        <v>8.0000001000000012</v>
      </c>
      <c r="AC18" s="3">
        <v>29587.51</v>
      </c>
      <c r="AD18" s="3">
        <v>76.040000000000006</v>
      </c>
      <c r="AE18" s="3">
        <v>0.42000526985262354</v>
      </c>
      <c r="AF18" s="3">
        <v>1.1761652040656356</v>
      </c>
      <c r="AG18" s="3">
        <v>-112.379536266001</v>
      </c>
      <c r="AH18" s="3">
        <v>5781.7209999999995</v>
      </c>
      <c r="AI18" s="3">
        <v>18.858666612442796</v>
      </c>
      <c r="AJ18" s="27">
        <v>3162.1260000000002</v>
      </c>
      <c r="AK18" s="27">
        <v>78.834507405445123</v>
      </c>
      <c r="AL18" s="27"/>
      <c r="AM18" s="27"/>
      <c r="AN18" s="27"/>
      <c r="AO18" s="27"/>
      <c r="AP18" s="27"/>
      <c r="AQ18" s="27">
        <v>7.25</v>
      </c>
      <c r="AR18" s="27">
        <v>117.21567816104124</v>
      </c>
      <c r="AS18" s="27">
        <v>27.85</v>
      </c>
    </row>
    <row r="19" spans="1:45" x14ac:dyDescent="0.2">
      <c r="A19" s="28">
        <v>39600</v>
      </c>
      <c r="B19" s="3">
        <v>7.5072369999999999</v>
      </c>
      <c r="C19" s="3">
        <v>19.309249999999999</v>
      </c>
      <c r="D19" s="3">
        <v>15.355499999999999</v>
      </c>
      <c r="E19" s="3">
        <v>34.74465</v>
      </c>
      <c r="F19" s="3">
        <v>2.3833782000000001</v>
      </c>
      <c r="G19" s="3">
        <v>17.318149043010017</v>
      </c>
      <c r="H19" s="3">
        <v>74.797079999999994</v>
      </c>
      <c r="I19" s="3">
        <v>77.540617405445118</v>
      </c>
      <c r="J19" s="3">
        <v>9.6203166334425365</v>
      </c>
      <c r="K19" s="3">
        <v>18.661619999999999</v>
      </c>
      <c r="L19" s="3">
        <v>4442.4352069377774</v>
      </c>
      <c r="M19" s="3">
        <v>1433.048</v>
      </c>
      <c r="N19" s="3">
        <v>1061.24</v>
      </c>
      <c r="O19" s="3">
        <v>3284.6149999999998</v>
      </c>
      <c r="P19" s="3">
        <f>(AVERAGE(P15,P11,P7))/1000</f>
        <v>0.62125094444444451</v>
      </c>
      <c r="Q19" s="3">
        <v>5474.0320000000002</v>
      </c>
      <c r="R19" s="3">
        <v>9.6051132999999993</v>
      </c>
      <c r="S19" s="3">
        <v>4.973723074692038</v>
      </c>
      <c r="T19" s="3">
        <v>3.5775417568792682</v>
      </c>
      <c r="U19" s="3">
        <v>236.29999999999998</v>
      </c>
      <c r="V19" s="7">
        <v>0.9775694274902339</v>
      </c>
      <c r="W19" s="3">
        <v>2926.0814999999993</v>
      </c>
      <c r="X19" s="3">
        <v>2.4354683801240737</v>
      </c>
      <c r="Y19" s="3">
        <v>5799.5190000000002</v>
      </c>
      <c r="Z19" s="3">
        <v>1426.2163370000001</v>
      </c>
      <c r="AA19" s="3">
        <v>8.9872489999999985</v>
      </c>
      <c r="AB19" s="3">
        <v>9.6051132999999993</v>
      </c>
      <c r="AC19" s="3">
        <v>30413.43</v>
      </c>
      <c r="AD19" s="3">
        <v>83.11</v>
      </c>
      <c r="AE19" s="3">
        <v>1.2208871395048391</v>
      </c>
      <c r="AF19" s="3">
        <v>1.1800148453151835</v>
      </c>
      <c r="AG19" s="3">
        <v>-122.501140608854</v>
      </c>
      <c r="AH19" s="3">
        <v>6054.9960000000001</v>
      </c>
      <c r="AI19" s="3">
        <v>18.684603895692057</v>
      </c>
      <c r="AJ19" s="27">
        <v>3243.723</v>
      </c>
      <c r="AK19" s="27">
        <v>77.540617405445118</v>
      </c>
      <c r="AL19" s="27"/>
      <c r="AM19" s="27"/>
      <c r="AN19" s="27"/>
      <c r="AO19" s="27"/>
      <c r="AP19" s="27"/>
      <c r="AQ19" s="27">
        <v>7.25</v>
      </c>
      <c r="AR19" s="27">
        <v>118.89251829006348</v>
      </c>
      <c r="AS19" s="27">
        <v>27.737500000000001</v>
      </c>
    </row>
    <row r="20" spans="1:45" x14ac:dyDescent="0.2">
      <c r="A20" s="28">
        <v>39692</v>
      </c>
      <c r="B20" s="6">
        <v>7.5098539999999998</v>
      </c>
      <c r="C20" s="3">
        <v>16.344270833333333</v>
      </c>
      <c r="D20" s="3">
        <v>13.120000000000001</v>
      </c>
      <c r="E20" s="6">
        <v>35.764069999999997</v>
      </c>
      <c r="F20" s="6">
        <v>3.0392096</v>
      </c>
      <c r="G20" s="3">
        <v>16.597955613198838</v>
      </c>
      <c r="H20" s="6">
        <v>70.47466</v>
      </c>
      <c r="I20" s="6">
        <v>75.605107405445125</v>
      </c>
      <c r="J20" s="6">
        <v>11.834607557677352</v>
      </c>
      <c r="K20" s="6">
        <v>17.484749999999998</v>
      </c>
      <c r="L20" s="3">
        <v>4462.8956888962493</v>
      </c>
      <c r="M20" s="3">
        <v>1686.538</v>
      </c>
      <c r="N20" s="3">
        <v>1117.029</v>
      </c>
      <c r="O20" s="3">
        <v>3373.93</v>
      </c>
      <c r="P20" s="3">
        <f>(AVERAGE(P16,P12,P8,P4))/1000</f>
        <v>0.66643299999999994</v>
      </c>
      <c r="Q20" s="3">
        <v>5523.5280000000002</v>
      </c>
      <c r="R20" s="3">
        <v>11.2138636</v>
      </c>
      <c r="S20" s="3">
        <v>0.95917416513762177</v>
      </c>
      <c r="T20" s="3">
        <v>4.4637418779964761</v>
      </c>
      <c r="U20" s="3">
        <v>249.9</v>
      </c>
      <c r="V20" s="7">
        <v>0.98245948791503901</v>
      </c>
      <c r="W20" s="3">
        <v>2924.6307000000002</v>
      </c>
      <c r="X20" s="3">
        <v>4.1197708071486661</v>
      </c>
      <c r="Y20" s="3">
        <v>6350.5391</v>
      </c>
      <c r="Z20" s="3">
        <v>1428.5413370000001</v>
      </c>
      <c r="AA20" s="3">
        <v>8.9261319999999991</v>
      </c>
      <c r="AB20" s="3">
        <v>11.2138636</v>
      </c>
      <c r="AC20" s="3">
        <v>23835.97</v>
      </c>
      <c r="AD20" s="3">
        <v>87.92</v>
      </c>
      <c r="AE20" s="3">
        <v>0.2389333501614459</v>
      </c>
      <c r="AF20" s="3">
        <v>1.1683798372440799</v>
      </c>
      <c r="AG20" s="3">
        <v>-109.876317797263</v>
      </c>
      <c r="AH20" s="3">
        <v>6421.6009999999997</v>
      </c>
      <c r="AI20" s="3">
        <v>18.573500446454457</v>
      </c>
      <c r="AJ20" s="27">
        <v>3130.9580000000001</v>
      </c>
      <c r="AK20" s="27">
        <v>75.605107405445125</v>
      </c>
      <c r="AL20" s="27"/>
      <c r="AM20" s="27"/>
      <c r="AN20" s="27"/>
      <c r="AO20" s="27"/>
      <c r="AP20" s="27"/>
      <c r="AQ20" s="27">
        <v>7.25</v>
      </c>
      <c r="AR20" s="27">
        <v>119.69158579641233</v>
      </c>
      <c r="AS20" s="27">
        <v>27.625</v>
      </c>
    </row>
    <row r="21" spans="1:45" x14ac:dyDescent="0.2">
      <c r="A21" s="28">
        <v>39783</v>
      </c>
      <c r="B21" s="3">
        <v>7.5500439999999998</v>
      </c>
      <c r="C21" s="3">
        <v>18.589881112986046</v>
      </c>
      <c r="D21" s="3">
        <v>14.828422566712639</v>
      </c>
      <c r="E21" s="3">
        <v>36.914760000000001</v>
      </c>
      <c r="F21" s="3">
        <v>3.6588569999999998</v>
      </c>
      <c r="G21" s="3">
        <v>21.39523806773671</v>
      </c>
      <c r="H21" s="3">
        <v>64.703879999999998</v>
      </c>
      <c r="I21" s="3">
        <v>73.465367405445122</v>
      </c>
      <c r="J21" s="3">
        <v>14.896435195461351</v>
      </c>
      <c r="K21" s="3">
        <v>17.103090000000002</v>
      </c>
      <c r="L21" s="3">
        <v>5364.3557093216668</v>
      </c>
      <c r="M21" s="3">
        <v>1718.4559999999999</v>
      </c>
      <c r="N21" s="3">
        <v>1166.2460000000001</v>
      </c>
      <c r="O21" s="3">
        <v>3314.549</v>
      </c>
      <c r="P21" s="3">
        <f>(AVERAGE(P17,P13,P9))/1000</f>
        <v>0.86935352857966652</v>
      </c>
      <c r="Q21" s="3">
        <v>5629.665</v>
      </c>
      <c r="R21" s="3">
        <v>12.4656822</v>
      </c>
      <c r="S21" s="3">
        <v>-2.2576155909532991</v>
      </c>
      <c r="T21" s="3">
        <v>4.7345351089027172</v>
      </c>
      <c r="U21" s="3">
        <v>254.1</v>
      </c>
      <c r="V21" s="7">
        <v>0.97119583129882803</v>
      </c>
      <c r="W21" s="3">
        <v>2952.5711999999999</v>
      </c>
      <c r="X21" s="3">
        <v>2.0283365707103633</v>
      </c>
      <c r="Y21" s="3">
        <v>6783.8521000000001</v>
      </c>
      <c r="Z21" s="3">
        <v>1434.0913370000001</v>
      </c>
      <c r="AA21" s="3">
        <v>8.4591549999999991</v>
      </c>
      <c r="AB21" s="3">
        <v>12.4656822</v>
      </c>
      <c r="AC21" s="3">
        <v>21509.200000000001</v>
      </c>
      <c r="AD21" s="3">
        <v>77.680000000000007</v>
      </c>
      <c r="AE21" s="3">
        <v>-0.56924852404030446</v>
      </c>
      <c r="AF21" s="3">
        <v>1.1414229840039964</v>
      </c>
      <c r="AG21" s="3">
        <v>-79.151302581507906</v>
      </c>
      <c r="AH21" s="3">
        <v>6881.5349999999999</v>
      </c>
      <c r="AI21" s="3">
        <v>18.523158378533786</v>
      </c>
      <c r="AJ21" s="27">
        <v>3085.8290000000002</v>
      </c>
      <c r="AK21" s="27">
        <v>73.465367405445122</v>
      </c>
      <c r="AL21" s="27"/>
      <c r="AM21" s="27"/>
      <c r="AN21" s="27"/>
      <c r="AO21" s="27"/>
      <c r="AP21" s="27"/>
      <c r="AQ21" s="27">
        <v>7.25</v>
      </c>
      <c r="AR21" s="27">
        <v>126.46003199400043</v>
      </c>
      <c r="AS21" s="27">
        <v>27.512499999999999</v>
      </c>
    </row>
    <row r="22" spans="1:45" x14ac:dyDescent="0.2">
      <c r="A22" s="28">
        <v>39873</v>
      </c>
      <c r="B22" s="6">
        <v>6.6946179812786557</v>
      </c>
      <c r="C22" s="8">
        <v>20.835491392638755</v>
      </c>
      <c r="D22" s="8">
        <v>16.536845133425278</v>
      </c>
      <c r="E22" s="6">
        <v>38.196730000000002</v>
      </c>
      <c r="F22" s="6">
        <v>3.5740028545577398</v>
      </c>
      <c r="G22" s="8">
        <v>26.192520522274588</v>
      </c>
      <c r="H22" s="6">
        <v>56.011416252815025</v>
      </c>
      <c r="I22" s="6">
        <v>103.91439779914644</v>
      </c>
      <c r="J22" s="6">
        <v>15.0345713852053</v>
      </c>
      <c r="K22" s="6">
        <v>17.516629999999999</v>
      </c>
      <c r="L22" s="3">
        <v>4675.8540000000003</v>
      </c>
      <c r="M22" s="3">
        <v>1578.4570000000001</v>
      </c>
      <c r="N22" s="3">
        <v>1100.1590000000001</v>
      </c>
      <c r="O22" s="3">
        <v>4296.366</v>
      </c>
      <c r="P22" s="3">
        <f>(AVERAGE(P18,P14,P10))/1000</f>
        <v>0.46322432600000002</v>
      </c>
      <c r="Q22" s="4">
        <v>5656.5410000000002</v>
      </c>
      <c r="R22" s="3">
        <v>13</v>
      </c>
      <c r="S22" s="3">
        <v>-6.0784782603844345</v>
      </c>
      <c r="T22" s="3">
        <v>4.3975457941785665</v>
      </c>
      <c r="U22" s="4">
        <v>247.5</v>
      </c>
      <c r="V22" s="7">
        <v>0.97739250183105497</v>
      </c>
      <c r="W22" s="3">
        <v>3500.0974000000001</v>
      </c>
      <c r="X22" s="3">
        <v>4.6272730127428146</v>
      </c>
      <c r="Y22" s="3">
        <v>7064.7019</v>
      </c>
      <c r="Z22" s="3">
        <v>1438.5146850000001</v>
      </c>
      <c r="AA22" s="3">
        <v>7.5863180000000003</v>
      </c>
      <c r="AB22" s="3">
        <v>13</v>
      </c>
      <c r="AC22" s="3">
        <v>20363.91</v>
      </c>
      <c r="AD22" s="3">
        <v>79.599999999999994</v>
      </c>
      <c r="AE22" s="3">
        <v>-1.5555425976118471</v>
      </c>
      <c r="AF22" s="3">
        <v>1.0990085580076041</v>
      </c>
      <c r="AG22" s="3">
        <v>-82.382083097726095</v>
      </c>
      <c r="AH22" s="3">
        <v>7434.7979999999998</v>
      </c>
      <c r="AI22" s="3">
        <v>16.009081003125143</v>
      </c>
      <c r="AJ22" s="27">
        <v>2942.3510000000001</v>
      </c>
      <c r="AK22" s="27">
        <v>103.91439779914644</v>
      </c>
      <c r="AL22" s="27"/>
      <c r="AM22" s="27"/>
      <c r="AN22" s="27"/>
      <c r="AO22" s="27"/>
      <c r="AP22" s="27"/>
      <c r="AQ22" s="27">
        <v>7.25</v>
      </c>
      <c r="AR22" s="27">
        <v>124.80737513600029</v>
      </c>
      <c r="AS22" s="27">
        <v>27.4</v>
      </c>
    </row>
    <row r="23" spans="1:45" x14ac:dyDescent="0.2">
      <c r="A23" s="28">
        <v>39965</v>
      </c>
      <c r="B23" s="3">
        <v>6.5355215221499146</v>
      </c>
      <c r="C23" s="8">
        <v>19.389475289045851</v>
      </c>
      <c r="D23" s="8">
        <v>15.202455269408702</v>
      </c>
      <c r="E23" s="3">
        <v>37.43083</v>
      </c>
      <c r="F23" s="3">
        <v>3.2622102456520401</v>
      </c>
      <c r="G23" s="8">
        <v>24.865598647767285</v>
      </c>
      <c r="H23" s="3">
        <v>54.298455392502355</v>
      </c>
      <c r="I23" s="3">
        <v>100.68052000542798</v>
      </c>
      <c r="J23" s="3">
        <v>14.286957524396801</v>
      </c>
      <c r="K23" s="3">
        <v>18.177129999999998</v>
      </c>
      <c r="L23" s="3">
        <v>8902.5592283299993</v>
      </c>
      <c r="M23" s="3">
        <v>1992.4280000000001</v>
      </c>
      <c r="N23" s="3">
        <v>1167.4359999999999</v>
      </c>
      <c r="O23" s="3">
        <v>3983.1060000000002</v>
      </c>
      <c r="P23" s="3">
        <v>1450.2060376510001</v>
      </c>
      <c r="Q23" s="4">
        <v>5734.5630000000001</v>
      </c>
      <c r="R23" s="3">
        <v>12.4562481</v>
      </c>
      <c r="S23" s="3">
        <v>-1.3657868392656369</v>
      </c>
      <c r="T23" s="3">
        <v>4.9546771498936311</v>
      </c>
      <c r="U23" s="4">
        <v>262.5</v>
      </c>
      <c r="V23" s="7">
        <v>0.99140678405761706</v>
      </c>
      <c r="W23" s="3">
        <v>3415.3270000000007</v>
      </c>
      <c r="X23" s="3">
        <v>1.526339125902014</v>
      </c>
      <c r="Y23" s="3">
        <v>7158.3323</v>
      </c>
      <c r="Z23" s="3">
        <v>1444.4799619999999</v>
      </c>
      <c r="AA23" s="3">
        <v>6.539593</v>
      </c>
      <c r="AB23" s="3">
        <v>12.4562481</v>
      </c>
      <c r="AC23" s="3">
        <v>22049.42</v>
      </c>
      <c r="AD23" s="3">
        <v>91.42</v>
      </c>
      <c r="AE23" s="3">
        <v>-0.34321137221483866</v>
      </c>
      <c r="AF23" s="3">
        <v>1.0900978050353078</v>
      </c>
      <c r="AG23" s="3">
        <v>-87.377513687927006</v>
      </c>
      <c r="AH23" s="3">
        <v>7868.8819999999996</v>
      </c>
      <c r="AI23" s="3">
        <v>16.00350050573547</v>
      </c>
      <c r="AJ23" s="27">
        <v>3118.4110000000001</v>
      </c>
      <c r="AK23" s="27">
        <v>100.68052000542798</v>
      </c>
      <c r="AL23" s="27"/>
      <c r="AM23" s="27"/>
      <c r="AN23" s="27"/>
      <c r="AO23" s="27"/>
      <c r="AP23" s="27"/>
      <c r="AQ23" s="27">
        <v>7.25</v>
      </c>
      <c r="AR23" s="27">
        <v>129.33345820552685</v>
      </c>
      <c r="AS23" s="27">
        <v>27.237500000000001</v>
      </c>
    </row>
    <row r="24" spans="1:45" x14ac:dyDescent="0.2">
      <c r="A24" s="28">
        <v>40057</v>
      </c>
      <c r="B24" s="6">
        <v>6.4462064091893003</v>
      </c>
      <c r="C24" s="8">
        <v>20.321693015181438</v>
      </c>
      <c r="D24" s="8">
        <v>17.9558914488764</v>
      </c>
      <c r="E24" s="6">
        <v>34.617049999999999</v>
      </c>
      <c r="F24" s="6">
        <v>3.2683324255635799</v>
      </c>
      <c r="G24" s="8">
        <v>24.966423234116832</v>
      </c>
      <c r="H24" s="6">
        <v>53.14182665972298</v>
      </c>
      <c r="I24" s="6">
        <v>96.756133721853459</v>
      </c>
      <c r="J24" s="6">
        <v>14.2813654117646</v>
      </c>
      <c r="K24" s="6">
        <v>19.084579999999999</v>
      </c>
      <c r="L24" s="3">
        <v>8966.2186914100002</v>
      </c>
      <c r="M24" s="3">
        <v>1892.0740000000001</v>
      </c>
      <c r="N24" s="3">
        <v>1223.2</v>
      </c>
      <c r="O24" s="3">
        <v>4060.268</v>
      </c>
      <c r="P24" s="3">
        <v>1516.835167771</v>
      </c>
      <c r="Q24" s="4">
        <v>5924.6594999999998</v>
      </c>
      <c r="R24" s="3">
        <v>11.1987691</v>
      </c>
      <c r="S24" s="3">
        <v>0.93086554167707281</v>
      </c>
      <c r="T24" s="3">
        <v>6.4035630622936131</v>
      </c>
      <c r="U24" s="4">
        <v>268.89999999999998</v>
      </c>
      <c r="V24" s="7">
        <v>1.0100079345703099</v>
      </c>
      <c r="W24" s="3">
        <v>3365.4790000000003</v>
      </c>
      <c r="X24" s="3">
        <v>4.3071187675457052</v>
      </c>
      <c r="Y24" s="3">
        <v>7081.09</v>
      </c>
      <c r="Z24" s="3">
        <v>1473.921916</v>
      </c>
      <c r="AA24" s="3">
        <v>5.5509509999999995</v>
      </c>
      <c r="AB24" s="3">
        <v>11.1987691</v>
      </c>
      <c r="AC24" s="3">
        <v>24910.85</v>
      </c>
      <c r="AD24" s="3">
        <v>95.86</v>
      </c>
      <c r="AE24" s="3">
        <v>0.23190719909902668</v>
      </c>
      <c r="AF24" s="3">
        <v>1.1146786413682086</v>
      </c>
      <c r="AG24" s="3">
        <v>-86.743700599980698</v>
      </c>
      <c r="AH24" s="3">
        <v>8183.7860000000001</v>
      </c>
      <c r="AI24" s="3">
        <v>15.984212951200389</v>
      </c>
      <c r="AJ24" s="27">
        <v>3091.748</v>
      </c>
      <c r="AK24" s="27">
        <v>96.756133721853459</v>
      </c>
      <c r="AL24" s="27"/>
      <c r="AM24" s="27"/>
      <c r="AN24" s="27"/>
      <c r="AO24" s="27"/>
      <c r="AP24" s="27"/>
      <c r="AQ24" s="27">
        <v>7.25</v>
      </c>
      <c r="AR24" s="27">
        <v>130.65253207204745</v>
      </c>
      <c r="AS24" s="27">
        <v>27.074999999999999</v>
      </c>
    </row>
    <row r="25" spans="1:45" x14ac:dyDescent="0.2">
      <c r="A25" s="28">
        <v>40148</v>
      </c>
      <c r="B25" s="3">
        <v>5.8691017563225216</v>
      </c>
      <c r="C25" s="8">
        <v>20.42498011405538</v>
      </c>
      <c r="D25" s="8">
        <v>17.551969118718443</v>
      </c>
      <c r="E25" s="3">
        <v>29.755389999999998</v>
      </c>
      <c r="F25" s="3">
        <v>3.5217345365036699</v>
      </c>
      <c r="G25" s="8">
        <v>27.600768777409019</v>
      </c>
      <c r="H25" s="3">
        <v>52.660299975179356</v>
      </c>
      <c r="I25" s="3">
        <v>93.892349332797522</v>
      </c>
      <c r="J25" s="3">
        <v>17.083561697347299</v>
      </c>
      <c r="K25" s="3">
        <v>20.238980000000002</v>
      </c>
      <c r="L25" s="3">
        <v>9838.6059999999998</v>
      </c>
      <c r="M25" s="3">
        <v>2009.9770000000001</v>
      </c>
      <c r="N25" s="3">
        <v>1226.354</v>
      </c>
      <c r="O25" s="3">
        <v>4639.33</v>
      </c>
      <c r="P25" s="3">
        <v>1551.68229286</v>
      </c>
      <c r="Q25" s="4">
        <v>6389.7560000000003</v>
      </c>
      <c r="R25" s="3">
        <v>9.5919055000000011</v>
      </c>
      <c r="S25" s="3">
        <v>2.694699169078163</v>
      </c>
      <c r="T25" s="3">
        <v>8.7372680545030281</v>
      </c>
      <c r="U25" s="4">
        <v>265.5</v>
      </c>
      <c r="V25" s="7">
        <v>1.0174883270263699</v>
      </c>
      <c r="W25" s="3">
        <v>3743.2438000000006</v>
      </c>
      <c r="X25" s="3">
        <v>1.1574494275468357</v>
      </c>
      <c r="Y25" s="3">
        <v>6849.3217000000004</v>
      </c>
      <c r="Z25" s="3">
        <v>1493.163871</v>
      </c>
      <c r="AA25" s="3">
        <v>4.8523639999999997</v>
      </c>
      <c r="AB25" s="3">
        <v>9.5919055000000011</v>
      </c>
      <c r="AC25" s="3">
        <v>27666.45</v>
      </c>
      <c r="AD25" s="3">
        <v>94.88</v>
      </c>
      <c r="AE25" s="3">
        <v>0.66697167932647972</v>
      </c>
      <c r="AF25" s="3">
        <v>1.1725671528133341</v>
      </c>
      <c r="AG25" s="3">
        <v>-93.732550622989294</v>
      </c>
      <c r="AH25" s="3">
        <v>8379.51</v>
      </c>
      <c r="AI25" s="3">
        <v>15.951317285978666</v>
      </c>
      <c r="AJ25" s="27">
        <v>3473.442</v>
      </c>
      <c r="AK25" s="27">
        <v>93.892349332797522</v>
      </c>
      <c r="AL25" s="27"/>
      <c r="AM25" s="27"/>
      <c r="AN25" s="27"/>
      <c r="AO25" s="27"/>
      <c r="AP25" s="27"/>
      <c r="AQ25" s="27">
        <v>7.25</v>
      </c>
      <c r="AR25" s="27">
        <v>132.01498507671522</v>
      </c>
      <c r="AS25" s="27">
        <v>26.912500000000001</v>
      </c>
    </row>
    <row r="26" spans="1:45" x14ac:dyDescent="0.2">
      <c r="A26" s="28">
        <v>40238</v>
      </c>
      <c r="B26" s="6">
        <v>8.2768569699913161</v>
      </c>
      <c r="C26" s="8">
        <v>20.349994246327952</v>
      </c>
      <c r="D26" s="8">
        <v>17.929998072990074</v>
      </c>
      <c r="E26" s="6">
        <v>22.845849999999999</v>
      </c>
      <c r="F26" s="6">
        <v>3.1390789226613198</v>
      </c>
      <c r="G26" s="8">
        <v>27.414589327156879</v>
      </c>
      <c r="H26" s="6">
        <v>52.75489032677779</v>
      </c>
      <c r="I26" s="6">
        <v>94.247457551253049</v>
      </c>
      <c r="J26" s="6">
        <v>15.1444259456631</v>
      </c>
      <c r="K26" s="6">
        <v>22.542940000000002</v>
      </c>
      <c r="L26" s="3">
        <v>10484.525</v>
      </c>
      <c r="M26" s="3">
        <v>1845.9059999999999</v>
      </c>
      <c r="N26" s="3">
        <v>1182.951</v>
      </c>
      <c r="O26" s="3">
        <v>4999.6490000000003</v>
      </c>
      <c r="P26" s="3">
        <v>1623.242</v>
      </c>
      <c r="Q26" s="4">
        <v>5998.9459999999999</v>
      </c>
      <c r="R26" s="3">
        <v>7.9999998999999988</v>
      </c>
      <c r="S26" s="3">
        <v>4.6315276961760743</v>
      </c>
      <c r="T26" s="3">
        <v>11.944373347391799</v>
      </c>
      <c r="U26" s="4">
        <v>274</v>
      </c>
      <c r="V26" s="7">
        <v>1.0043123626709001</v>
      </c>
      <c r="W26" s="3">
        <v>3604.9333000000001</v>
      </c>
      <c r="X26" s="3">
        <v>3.3668965517241385</v>
      </c>
      <c r="Y26" s="3">
        <v>6479.3739999999998</v>
      </c>
      <c r="Z26" s="3">
        <v>1493.8633199999999</v>
      </c>
      <c r="AA26" s="3">
        <v>4.4438310000000003</v>
      </c>
      <c r="AB26" s="3">
        <v>7.9999998999999988</v>
      </c>
      <c r="AC26" s="3">
        <v>28747.56</v>
      </c>
      <c r="AD26" s="3">
        <v>97.71</v>
      </c>
      <c r="AE26" s="3">
        <v>1.166724906816242</v>
      </c>
      <c r="AF26" s="3">
        <v>1.2634100377600714</v>
      </c>
      <c r="AG26" s="3">
        <v>-93.850458172090896</v>
      </c>
      <c r="AH26" s="3">
        <v>8456.0540000000001</v>
      </c>
      <c r="AI26" s="3">
        <v>8.0596944415748286</v>
      </c>
      <c r="AJ26" s="27">
        <v>2905.1610000000001</v>
      </c>
      <c r="AK26" s="27">
        <v>94.247457551253049</v>
      </c>
      <c r="AL26" s="27"/>
      <c r="AM26" s="27"/>
      <c r="AN26" s="27"/>
      <c r="AO26" s="27"/>
      <c r="AP26" s="27"/>
      <c r="AQ26" s="27">
        <v>7.25</v>
      </c>
      <c r="AR26" s="27">
        <v>133.94575398405539</v>
      </c>
      <c r="AS26" s="27">
        <v>26.75</v>
      </c>
    </row>
    <row r="27" spans="1:45" x14ac:dyDescent="0.2">
      <c r="A27" s="28">
        <v>40330</v>
      </c>
      <c r="B27" s="3">
        <v>8.5102330910143884</v>
      </c>
      <c r="C27" s="8">
        <v>21.769994478347233</v>
      </c>
      <c r="D27" s="8">
        <v>19.269994478347233</v>
      </c>
      <c r="E27" s="3">
        <v>17.663689999999999</v>
      </c>
      <c r="F27" s="3">
        <v>3.1090510859135199</v>
      </c>
      <c r="G27" s="8">
        <v>27.06850934267019</v>
      </c>
      <c r="H27" s="3">
        <v>53.105521591659752</v>
      </c>
      <c r="I27" s="3">
        <v>96.209455193360284</v>
      </c>
      <c r="J27" s="3">
        <v>16.170903601387501</v>
      </c>
      <c r="K27" s="3">
        <v>23.442240000000002</v>
      </c>
      <c r="L27" s="3">
        <v>10775.552</v>
      </c>
      <c r="M27" s="3">
        <v>2026.0550000000001</v>
      </c>
      <c r="N27" s="3">
        <v>1234.8800000000001</v>
      </c>
      <c r="O27" s="3">
        <v>5247.8770000000004</v>
      </c>
      <c r="P27" s="3">
        <v>1644.2270000000001</v>
      </c>
      <c r="Q27" s="4">
        <v>6188.2240000000002</v>
      </c>
      <c r="R27" s="3">
        <v>6.7873948999999998</v>
      </c>
      <c r="S27" s="3">
        <v>2.7570293942319246</v>
      </c>
      <c r="T27" s="3">
        <v>13.223215654859002</v>
      </c>
      <c r="U27" s="4">
        <v>236.7798191</v>
      </c>
      <c r="V27" s="7">
        <v>0.997461471557617</v>
      </c>
      <c r="W27" s="3">
        <v>3145.2590999999993</v>
      </c>
      <c r="X27" s="3">
        <v>1.2087731543624163</v>
      </c>
      <c r="Y27" s="3">
        <v>5987.5936999999994</v>
      </c>
      <c r="Z27" s="3">
        <v>1533.906375</v>
      </c>
      <c r="AA27" s="3">
        <v>4.2385419999999998</v>
      </c>
      <c r="AB27" s="3">
        <v>6.7873948999999998</v>
      </c>
      <c r="AC27" s="3">
        <v>26258.82</v>
      </c>
      <c r="AD27" s="3">
        <v>100.82</v>
      </c>
      <c r="AE27" s="3">
        <v>0.83941197910301923</v>
      </c>
      <c r="AF27" s="3">
        <v>1.3337476194469711</v>
      </c>
      <c r="AG27" s="3">
        <v>-92.390937007363902</v>
      </c>
      <c r="AH27" s="3">
        <v>8513.4619999999995</v>
      </c>
      <c r="AI27" s="3">
        <v>8.0169004089097626</v>
      </c>
      <c r="AJ27" s="27">
        <v>3183.2820000000002</v>
      </c>
      <c r="AK27" s="27">
        <v>96.209455193360284</v>
      </c>
      <c r="AL27" s="27"/>
      <c r="AM27" s="27"/>
      <c r="AN27" s="27"/>
      <c r="AO27" s="27"/>
      <c r="AP27" s="27"/>
      <c r="AQ27" s="27">
        <v>7.25</v>
      </c>
      <c r="AR27" s="27">
        <v>134.86015811177717</v>
      </c>
      <c r="AS27" s="27">
        <v>26.56</v>
      </c>
    </row>
    <row r="28" spans="1:45" x14ac:dyDescent="0.2">
      <c r="A28" s="28">
        <v>40422</v>
      </c>
      <c r="B28" s="6">
        <v>7.641997989775434</v>
      </c>
      <c r="C28" s="8">
        <v>21.950006395107994</v>
      </c>
      <c r="D28" s="8">
        <v>19.440000263787358</v>
      </c>
      <c r="E28" s="6">
        <v>14.208920000000001</v>
      </c>
      <c r="F28" s="6">
        <v>3.17516469537685</v>
      </c>
      <c r="G28" s="8">
        <v>27.336340501444667</v>
      </c>
      <c r="H28" s="6">
        <v>52.874930922858532</v>
      </c>
      <c r="I28" s="6">
        <v>95.563888449544038</v>
      </c>
      <c r="J28" s="6">
        <v>16.557967533468101</v>
      </c>
      <c r="K28" s="6">
        <v>23.31616</v>
      </c>
      <c r="L28" s="3">
        <v>10865.909</v>
      </c>
      <c r="M28" s="3">
        <v>1930.2260000000001</v>
      </c>
      <c r="N28" s="3">
        <v>1256.672</v>
      </c>
      <c r="O28" s="3">
        <v>5377.98</v>
      </c>
      <c r="P28" s="3">
        <v>1745.653</v>
      </c>
      <c r="Q28" s="4">
        <v>6311.1490000000003</v>
      </c>
      <c r="R28" s="3">
        <v>5.9115522</v>
      </c>
      <c r="S28" s="3">
        <v>4.5217017688940819</v>
      </c>
      <c r="T28" s="3">
        <v>12.595059379377247</v>
      </c>
      <c r="U28" s="4">
        <v>249.86377249999998</v>
      </c>
      <c r="V28" s="7">
        <v>1.0117783355712902</v>
      </c>
      <c r="W28" s="3">
        <v>3012.5560999999993</v>
      </c>
      <c r="X28" s="3">
        <v>3.7871461034621046</v>
      </c>
      <c r="Y28" s="3">
        <v>5445.5146999999997</v>
      </c>
      <c r="Z28" s="3">
        <v>1536.2924860000001</v>
      </c>
      <c r="AA28" s="3">
        <v>4.1496830000000005</v>
      </c>
      <c r="AB28" s="3">
        <v>5.9115522</v>
      </c>
      <c r="AC28" s="3">
        <v>29456.04</v>
      </c>
      <c r="AD28" s="3">
        <v>103.06</v>
      </c>
      <c r="AE28" s="3">
        <v>0.89024630823742257</v>
      </c>
      <c r="AF28" s="3">
        <v>1.3833970955029404</v>
      </c>
      <c r="AG28" s="3">
        <v>-102.949564025535</v>
      </c>
      <c r="AH28" s="3">
        <v>8551.7340000000004</v>
      </c>
      <c r="AI28" s="3">
        <v>7.9554061965506992</v>
      </c>
      <c r="AJ28" s="27">
        <v>3281.4969999999998</v>
      </c>
      <c r="AK28" s="27">
        <v>95.563888449544038</v>
      </c>
      <c r="AL28" s="27"/>
      <c r="AM28" s="27"/>
      <c r="AN28" s="27"/>
      <c r="AO28" s="27"/>
      <c r="AP28" s="27"/>
      <c r="AQ28" s="27">
        <v>7.25</v>
      </c>
      <c r="AR28" s="27">
        <v>136.31633142860005</v>
      </c>
      <c r="AS28" s="27">
        <v>26.37</v>
      </c>
    </row>
    <row r="29" spans="1:45" x14ac:dyDescent="0.2">
      <c r="A29" s="28">
        <v>40513</v>
      </c>
      <c r="B29" s="3">
        <v>7.8074135254831036</v>
      </c>
      <c r="C29" s="8">
        <v>23.00000536619708</v>
      </c>
      <c r="D29" s="8">
        <v>20.440000463916391</v>
      </c>
      <c r="E29" s="3">
        <v>12.481540000000001</v>
      </c>
      <c r="F29" s="3">
        <v>3.4035365397613</v>
      </c>
      <c r="G29" s="8">
        <v>28.74942667863467</v>
      </c>
      <c r="H29" s="3">
        <v>52.019699649414243</v>
      </c>
      <c r="I29" s="3">
        <v>92.074085723510578</v>
      </c>
      <c r="J29" s="3">
        <v>20.712595898156898</v>
      </c>
      <c r="K29" s="3">
        <v>22.164709999999999</v>
      </c>
      <c r="L29" s="3">
        <v>10738.195</v>
      </c>
      <c r="M29" s="3">
        <v>2182.511</v>
      </c>
      <c r="N29" s="3">
        <v>1292.201</v>
      </c>
      <c r="O29" s="3">
        <v>5006.5</v>
      </c>
      <c r="P29" s="3">
        <v>1817.1969999999999</v>
      </c>
      <c r="Q29" s="4">
        <v>6486.03</v>
      </c>
      <c r="R29" s="3">
        <v>5.3299333000000004</v>
      </c>
      <c r="S29" s="3">
        <v>4.3483450421561765</v>
      </c>
      <c r="T29" s="3">
        <v>10.107831087885213</v>
      </c>
      <c r="U29" s="4">
        <v>239.72885200000002</v>
      </c>
      <c r="V29" s="7">
        <v>1.02453269958496</v>
      </c>
      <c r="W29" s="3">
        <v>2972.7521000000002</v>
      </c>
      <c r="X29" s="3">
        <v>1.1185233806810724</v>
      </c>
      <c r="Y29" s="3">
        <v>4924.6711000000005</v>
      </c>
      <c r="Z29" s="3">
        <v>1606.2924860000001</v>
      </c>
      <c r="AA29" s="3">
        <v>4.0904439999999997</v>
      </c>
      <c r="AB29" s="3">
        <v>5.3299333000000004</v>
      </c>
      <c r="AC29" s="3">
        <v>32118.89</v>
      </c>
      <c r="AD29" s="3">
        <v>104.37</v>
      </c>
      <c r="AE29" s="3">
        <v>0.93078134346716013</v>
      </c>
      <c r="AF29" s="3">
        <v>1.412475630472086</v>
      </c>
      <c r="AG29" s="3">
        <v>-117.59174590410301</v>
      </c>
      <c r="AH29" s="3">
        <v>8570.8700000000008</v>
      </c>
      <c r="AI29" s="3">
        <v>7.8760764840309792</v>
      </c>
      <c r="AJ29" s="27">
        <v>3364.7840000000001</v>
      </c>
      <c r="AK29" s="27">
        <v>92.074085723510578</v>
      </c>
      <c r="AL29" s="27"/>
      <c r="AM29" s="27"/>
      <c r="AN29" s="27"/>
      <c r="AO29" s="27"/>
      <c r="AP29" s="27"/>
      <c r="AQ29" s="27">
        <v>7.25</v>
      </c>
      <c r="AR29" s="27">
        <v>136.83229533018996</v>
      </c>
      <c r="AS29" s="27">
        <v>26.18</v>
      </c>
    </row>
    <row r="30" spans="1:45" x14ac:dyDescent="0.2">
      <c r="A30" s="28">
        <v>40603</v>
      </c>
      <c r="B30" s="6">
        <v>4.6376158508360676</v>
      </c>
      <c r="C30" s="8">
        <v>23.097141542693159</v>
      </c>
      <c r="D30" s="8">
        <v>20.327288600857905</v>
      </c>
      <c r="E30" s="6">
        <v>21.099159728597275</v>
      </c>
      <c r="F30" s="6">
        <v>3.83211117191343</v>
      </c>
      <c r="G30" s="8">
        <v>29.29249026042643</v>
      </c>
      <c r="H30" s="6">
        <v>50.633316220469794</v>
      </c>
      <c r="I30" s="6">
        <v>81.350204933554394</v>
      </c>
      <c r="J30" s="6">
        <v>20.138117004809899</v>
      </c>
      <c r="K30" s="6">
        <v>19.987880000000001</v>
      </c>
      <c r="L30" s="3">
        <v>10787.392</v>
      </c>
      <c r="M30" s="3">
        <v>1960.3420000000001</v>
      </c>
      <c r="N30" s="3">
        <v>1246.7629999999999</v>
      </c>
      <c r="O30" s="3">
        <v>5162.5460000000003</v>
      </c>
      <c r="P30" s="3">
        <v>1899.6949999999999</v>
      </c>
      <c r="Q30" s="4">
        <v>6454.9269999999997</v>
      </c>
      <c r="R30" s="3">
        <v>5</v>
      </c>
      <c r="S30" s="3">
        <v>3.8563725279391114</v>
      </c>
      <c r="T30" s="3">
        <v>3.0255343030415776</v>
      </c>
      <c r="U30" s="4">
        <v>250.97148399999998</v>
      </c>
      <c r="V30" s="3">
        <v>1.0157687377929701</v>
      </c>
      <c r="W30" s="3">
        <v>2812.4575999999997</v>
      </c>
      <c r="X30" s="3">
        <v>4.1676202333729044</v>
      </c>
      <c r="Y30" s="3">
        <v>4043.4259999999999</v>
      </c>
      <c r="Z30" s="3">
        <v>1493.8633199999999</v>
      </c>
      <c r="AA30" s="3">
        <v>5.5</v>
      </c>
      <c r="AB30" s="3">
        <v>5</v>
      </c>
      <c r="AC30" s="3">
        <v>32204.06</v>
      </c>
      <c r="AD30" s="3">
        <v>100.03</v>
      </c>
      <c r="AE30" s="3">
        <v>0.98480169218579761</v>
      </c>
      <c r="AF30" s="3">
        <v>1.4213862138530062</v>
      </c>
      <c r="AG30" s="3">
        <v>-125.606644217328</v>
      </c>
      <c r="AH30" s="3">
        <v>8391.42</v>
      </c>
      <c r="AI30" s="3">
        <v>8.5278467459853946</v>
      </c>
      <c r="AJ30" s="27">
        <v>3209.0160000000001</v>
      </c>
      <c r="AK30" s="27">
        <v>81.350204933554394</v>
      </c>
      <c r="AL30" s="27">
        <v>4.2900000000000004E-3</v>
      </c>
      <c r="AM30" s="27">
        <v>8.4999999999999995E-4</v>
      </c>
      <c r="AN30" s="27">
        <v>5.8999999999999998E-5</v>
      </c>
      <c r="AO30" s="27">
        <v>0.107071</v>
      </c>
      <c r="AP30" s="27">
        <v>9.1750000000000009E-3</v>
      </c>
      <c r="AQ30" s="27">
        <v>7.25</v>
      </c>
      <c r="AR30" s="27">
        <v>137.31839898479771</v>
      </c>
      <c r="AS30" s="27">
        <v>25.99</v>
      </c>
    </row>
    <row r="31" spans="1:45" x14ac:dyDescent="0.2">
      <c r="A31" s="28">
        <v>40695</v>
      </c>
      <c r="B31" s="3">
        <v>4.2676115057444166</v>
      </c>
      <c r="C31" s="8">
        <v>20.262921975982572</v>
      </c>
      <c r="D31" s="8">
        <v>17.415384261650065</v>
      </c>
      <c r="E31" s="3">
        <v>19.655741866697038</v>
      </c>
      <c r="F31" s="3">
        <v>3.1093184905625102</v>
      </c>
      <c r="G31" s="8">
        <v>23.887134120447719</v>
      </c>
      <c r="H31" s="3">
        <v>51.130816063765835</v>
      </c>
      <c r="I31" s="3">
        <v>82.292167177317538</v>
      </c>
      <c r="J31" s="3">
        <v>21.859803797957401</v>
      </c>
      <c r="K31" s="3">
        <v>20.47944</v>
      </c>
      <c r="L31" s="3">
        <v>11753.710999999999</v>
      </c>
      <c r="M31" s="3">
        <v>2149.2710000000002</v>
      </c>
      <c r="N31" s="3">
        <v>1274.5920000000001</v>
      </c>
      <c r="O31" s="3">
        <v>5055.2020000000002</v>
      </c>
      <c r="P31" s="3">
        <v>1968.0409999999999</v>
      </c>
      <c r="Q31" s="4">
        <v>7325.5159999999996</v>
      </c>
      <c r="R31" s="3">
        <v>4.8792138000000005</v>
      </c>
      <c r="S31" s="3">
        <v>2.3197170926138933</v>
      </c>
      <c r="T31" s="3">
        <v>-3.5159017599549882</v>
      </c>
      <c r="U31" s="4">
        <v>229.24661800000001</v>
      </c>
      <c r="V31" s="3">
        <v>1.0145413208007801</v>
      </c>
      <c r="W31" s="3">
        <v>2758.9857999999999</v>
      </c>
      <c r="X31" s="3">
        <v>1.7553547297297296</v>
      </c>
      <c r="Y31" s="3">
        <v>3779.9879999999998</v>
      </c>
      <c r="Z31" s="3">
        <v>1533.906375</v>
      </c>
      <c r="AA31" s="3">
        <v>5.5</v>
      </c>
      <c r="AB31" s="3">
        <v>4.8792138000000005</v>
      </c>
      <c r="AC31" s="3">
        <v>31864.54</v>
      </c>
      <c r="AD31" s="3">
        <v>100.75</v>
      </c>
      <c r="AE31" s="3">
        <v>0.55967151331782361</v>
      </c>
      <c r="AF31" s="3">
        <v>1.43263721906812</v>
      </c>
      <c r="AG31" s="3">
        <v>-125.2057947285</v>
      </c>
      <c r="AH31" s="3">
        <v>8630.3610000000008</v>
      </c>
      <c r="AI31" s="3">
        <v>8.44482771869807</v>
      </c>
      <c r="AJ31" s="27">
        <v>3945.0549999999998</v>
      </c>
      <c r="AK31" s="27">
        <v>82.292167177317538</v>
      </c>
      <c r="AL31" s="27">
        <v>1.1218000000000001E-2</v>
      </c>
      <c r="AM31" s="27">
        <v>1.8680000000000001E-3</v>
      </c>
      <c r="AN31" s="27">
        <v>1.2899999999999999E-4</v>
      </c>
      <c r="AO31" s="27">
        <v>0.37353199999999998</v>
      </c>
      <c r="AP31" s="27">
        <v>4.2299000000000003E-2</v>
      </c>
      <c r="AQ31" s="27">
        <v>7.25</v>
      </c>
      <c r="AR31" s="27">
        <v>138.79275508336499</v>
      </c>
      <c r="AS31" s="27">
        <v>25.772500000000001</v>
      </c>
    </row>
    <row r="32" spans="1:45" x14ac:dyDescent="0.2">
      <c r="A32" s="28">
        <v>40787</v>
      </c>
      <c r="B32" s="6">
        <v>3.6509003986758986</v>
      </c>
      <c r="C32" s="8">
        <v>19.700108873362655</v>
      </c>
      <c r="D32" s="8">
        <v>17.066647996475712</v>
      </c>
      <c r="E32" s="6">
        <v>16.927544497336029</v>
      </c>
      <c r="F32" s="6">
        <v>3.27183653398306</v>
      </c>
      <c r="G32" s="8">
        <v>24.971413323268386</v>
      </c>
      <c r="H32" s="6">
        <v>51.127346151577548</v>
      </c>
      <c r="I32" s="6">
        <v>83.284523046914117</v>
      </c>
      <c r="J32" s="6">
        <v>20.393163234543099</v>
      </c>
      <c r="K32" s="6">
        <v>23.639389999999999</v>
      </c>
      <c r="L32" s="3">
        <v>11582.128283120001</v>
      </c>
      <c r="M32" s="3">
        <v>2557.1459999999997</v>
      </c>
      <c r="N32" s="3">
        <v>1286.0429999999999</v>
      </c>
      <c r="O32" s="3">
        <v>4595.3770000000004</v>
      </c>
      <c r="P32" s="3">
        <v>2011.7080000000001</v>
      </c>
      <c r="Q32" s="4">
        <v>8132.8173268700002</v>
      </c>
      <c r="R32" s="3">
        <v>4.9904009</v>
      </c>
      <c r="S32" s="3">
        <v>1.1983323960753856</v>
      </c>
      <c r="T32" s="3">
        <v>0.51353706506399655</v>
      </c>
      <c r="U32" s="4">
        <v>230.42137779999999</v>
      </c>
      <c r="V32" s="3">
        <v>1.01679908752441</v>
      </c>
      <c r="W32" s="3">
        <v>2650.5470999999998</v>
      </c>
      <c r="X32" s="3">
        <v>3.3702695006083832</v>
      </c>
      <c r="Y32" s="3">
        <v>4006.2130000000002</v>
      </c>
      <c r="Z32" s="3">
        <v>1536.2924860000001</v>
      </c>
      <c r="AA32" s="3">
        <v>5.5</v>
      </c>
      <c r="AB32" s="3">
        <v>4.9904009</v>
      </c>
      <c r="AC32" s="3">
        <v>29674.2</v>
      </c>
      <c r="AD32" s="3">
        <v>93.48</v>
      </c>
      <c r="AE32" s="3">
        <v>0.41377111629475394</v>
      </c>
      <c r="AF32" s="3">
        <v>1.4462397036104022</v>
      </c>
      <c r="AG32" s="3">
        <v>-124.34327551269</v>
      </c>
      <c r="AH32" s="3">
        <v>8820.3410000000003</v>
      </c>
      <c r="AI32" s="3">
        <v>8.3828802471510233</v>
      </c>
      <c r="AJ32" s="27">
        <v>4530.2299999999996</v>
      </c>
      <c r="AK32" s="27">
        <v>83.284523046914117</v>
      </c>
      <c r="AL32" s="27">
        <v>2.3348000000000001E-2</v>
      </c>
      <c r="AM32" s="27">
        <v>2.7499999999999998E-3</v>
      </c>
      <c r="AN32" s="27">
        <v>1.2409999999999999E-3</v>
      </c>
      <c r="AO32" s="27">
        <v>0.91023299999999996</v>
      </c>
      <c r="AP32" s="27">
        <v>0.34212799999999999</v>
      </c>
      <c r="AQ32" s="27">
        <v>7.25</v>
      </c>
      <c r="AR32" s="27">
        <v>141.93107286712711</v>
      </c>
      <c r="AS32" s="27">
        <v>25.555</v>
      </c>
    </row>
    <row r="33" spans="1:45" x14ac:dyDescent="0.2">
      <c r="A33" s="28">
        <v>40878</v>
      </c>
      <c r="B33" s="3">
        <v>3.5272700795754037</v>
      </c>
      <c r="C33" s="8">
        <v>20.637518814049294</v>
      </c>
      <c r="D33" s="8">
        <v>17.792725639750831</v>
      </c>
      <c r="E33" s="3">
        <v>16.032404028816433</v>
      </c>
      <c r="F33" s="3">
        <v>3.4692703501865401</v>
      </c>
      <c r="G33" s="8">
        <v>26.292811341430738</v>
      </c>
      <c r="H33" s="3">
        <v>51.000262174673118</v>
      </c>
      <c r="I33" s="3">
        <v>85.047439444230193</v>
      </c>
      <c r="J33" s="3">
        <v>24.1200290397963</v>
      </c>
      <c r="K33" s="3">
        <v>29.46773</v>
      </c>
      <c r="L33" s="3">
        <v>11877.910629615999</v>
      </c>
      <c r="M33" s="3">
        <v>2629.0309999999999</v>
      </c>
      <c r="N33" s="3">
        <v>1309.9090000000001</v>
      </c>
      <c r="O33" s="3">
        <v>4566.9830000000002</v>
      </c>
      <c r="P33" s="3">
        <v>2069.422</v>
      </c>
      <c r="Q33" s="4">
        <v>8175.4319999999998</v>
      </c>
      <c r="R33" s="3">
        <v>5.3563875999999997</v>
      </c>
      <c r="S33" s="3">
        <v>3.0838562788531698</v>
      </c>
      <c r="T33" s="3">
        <v>1.6836300927996368</v>
      </c>
      <c r="U33" s="4">
        <v>236.2078822</v>
      </c>
      <c r="V33" s="3">
        <v>1.00929626464844</v>
      </c>
      <c r="W33" s="3">
        <v>2542.6613000000002</v>
      </c>
      <c r="X33" s="3">
        <v>1.0851427249205914</v>
      </c>
      <c r="Y33" s="3">
        <v>4230.9560000000001</v>
      </c>
      <c r="Z33" s="3">
        <v>1536.2924860000001</v>
      </c>
      <c r="AA33" s="3">
        <v>5.5</v>
      </c>
      <c r="AB33" s="3">
        <v>5.3563875999999997</v>
      </c>
      <c r="AC33" s="3">
        <v>31985.67</v>
      </c>
      <c r="AD33" s="3">
        <v>90.11</v>
      </c>
      <c r="AE33" s="3">
        <v>0.68408623596842233</v>
      </c>
      <c r="AF33" s="3">
        <v>1.4622363687251869</v>
      </c>
      <c r="AG33" s="3">
        <v>-112.490115141247</v>
      </c>
      <c r="AH33" s="3">
        <v>8778.4089999999997</v>
      </c>
      <c r="AI33" s="3">
        <v>8.3411104954432158</v>
      </c>
      <c r="AJ33" s="27">
        <v>4577.393</v>
      </c>
      <c r="AK33" s="27">
        <v>85.047439444230193</v>
      </c>
      <c r="AL33" s="27">
        <v>4.6036000000000001E-2</v>
      </c>
      <c r="AM33" s="27">
        <v>3.872E-3</v>
      </c>
      <c r="AN33" s="27">
        <v>2.2899999999999999E-3</v>
      </c>
      <c r="AO33" s="27">
        <v>1.3102235</v>
      </c>
      <c r="AP33" s="27">
        <v>0.73115958999999997</v>
      </c>
      <c r="AQ33" s="27">
        <v>7.25</v>
      </c>
      <c r="AR33" s="27">
        <v>144.98976049361664</v>
      </c>
      <c r="AS33" s="27">
        <v>25.337499999999999</v>
      </c>
    </row>
    <row r="34" spans="1:45" x14ac:dyDescent="0.2">
      <c r="A34" s="28">
        <v>40969</v>
      </c>
      <c r="B34" s="6">
        <v>6.4589102366660729</v>
      </c>
      <c r="C34" s="8">
        <v>20.2597955379124</v>
      </c>
      <c r="D34" s="8">
        <v>17.541945877447439</v>
      </c>
      <c r="E34" s="6">
        <v>19.832307873331334</v>
      </c>
      <c r="F34" s="6">
        <v>3.6176236147305101</v>
      </c>
      <c r="G34" s="8">
        <v>25.808532093838739</v>
      </c>
      <c r="H34" s="6">
        <v>50.452338497402529</v>
      </c>
      <c r="I34" s="6">
        <v>86.345707029772527</v>
      </c>
      <c r="J34" s="6">
        <v>22.5079612829207</v>
      </c>
      <c r="K34" s="6">
        <v>37.964460000000003</v>
      </c>
      <c r="L34" s="3">
        <v>11693.567999999999</v>
      </c>
      <c r="M34" s="3">
        <v>2561.672</v>
      </c>
      <c r="N34" s="3">
        <v>1280.6199999999999</v>
      </c>
      <c r="O34" s="3">
        <v>4618.76</v>
      </c>
      <c r="P34" s="3">
        <v>2146.0160000000001</v>
      </c>
      <c r="Q34" s="4">
        <v>8124.8919999999998</v>
      </c>
      <c r="R34" s="3">
        <v>5.9999998999999997</v>
      </c>
      <c r="S34" s="3">
        <v>1.6099643831718025</v>
      </c>
      <c r="T34" s="3">
        <v>3.1450522580560176</v>
      </c>
      <c r="U34" s="4">
        <v>258.71479850000003</v>
      </c>
      <c r="V34" s="7">
        <v>1.0050041198730499</v>
      </c>
      <c r="W34" s="3">
        <v>2552.9461999999999</v>
      </c>
      <c r="X34" s="3">
        <v>2.9733552455774674</v>
      </c>
      <c r="Y34" s="3">
        <v>3837.252</v>
      </c>
      <c r="Z34" s="3">
        <f>AVERAGE(Z2,Z6,Z10,Z14,Z18,Z22,Z26,Z30)</f>
        <v>1384.1168438750001</v>
      </c>
      <c r="AA34" s="3">
        <v>5.5</v>
      </c>
      <c r="AB34" s="3">
        <v>5.9999998999999997</v>
      </c>
      <c r="AC34" s="3">
        <v>33792.480000000003</v>
      </c>
      <c r="AD34" s="3">
        <v>95.47</v>
      </c>
      <c r="AE34" s="3">
        <v>0.56684325344733111</v>
      </c>
      <c r="AF34" s="3">
        <v>1.4807027240539354</v>
      </c>
      <c r="AG34" s="3">
        <v>-117.056359704003</v>
      </c>
      <c r="AH34" s="3">
        <v>8674.5709999999999</v>
      </c>
      <c r="AI34" s="3">
        <v>20.38404737388775</v>
      </c>
      <c r="AJ34" s="27">
        <v>4535.9970000000003</v>
      </c>
      <c r="AK34" s="27">
        <v>86.345707029772527</v>
      </c>
      <c r="AL34" s="27">
        <v>6.5032000000000006E-2</v>
      </c>
      <c r="AM34" s="27">
        <v>5.9719999999999999E-3</v>
      </c>
      <c r="AN34" s="27">
        <v>3.2859999999999999E-3</v>
      </c>
      <c r="AO34" s="27">
        <v>1.7140488</v>
      </c>
      <c r="AP34" s="27">
        <v>0.95784999999999998</v>
      </c>
      <c r="AQ34" s="27">
        <v>7.25</v>
      </c>
      <c r="AR34" s="27">
        <v>147.76851863136503</v>
      </c>
      <c r="AS34" s="27">
        <v>25.12</v>
      </c>
    </row>
    <row r="35" spans="1:45" x14ac:dyDescent="0.2">
      <c r="A35" s="28">
        <v>41061</v>
      </c>
      <c r="B35" s="3">
        <v>8.7046869425910813</v>
      </c>
      <c r="C35" s="8">
        <v>22.316994327231274</v>
      </c>
      <c r="D35" s="8">
        <v>19.328301263417124</v>
      </c>
      <c r="E35" s="3">
        <v>25.787160898049819</v>
      </c>
      <c r="F35" s="3">
        <v>3.6517019881761299</v>
      </c>
      <c r="G35" s="8">
        <v>25.661883921204016</v>
      </c>
      <c r="H35" s="3">
        <v>50.444176302362919</v>
      </c>
      <c r="I35" s="3">
        <v>88.34937435273774</v>
      </c>
      <c r="J35" s="3">
        <v>25.0524189181229</v>
      </c>
      <c r="K35" s="3">
        <v>43.005310000000001</v>
      </c>
      <c r="L35" s="3">
        <v>12016.447722000001</v>
      </c>
      <c r="M35" s="3">
        <v>2799.6320000000001</v>
      </c>
      <c r="N35" s="3">
        <v>1348.723</v>
      </c>
      <c r="O35" s="3">
        <v>4614.4809999999998</v>
      </c>
      <c r="P35" s="3">
        <v>2221.886</v>
      </c>
      <c r="Q35" s="4">
        <v>7688.1670000000004</v>
      </c>
      <c r="R35" s="3">
        <v>6.9440641000000003</v>
      </c>
      <c r="S35" s="3">
        <v>3.6394568447757125</v>
      </c>
      <c r="T35" s="3">
        <v>22.746223168554934</v>
      </c>
      <c r="U35" s="4">
        <v>234.90272569999999</v>
      </c>
      <c r="V35" s="7">
        <v>1</v>
      </c>
      <c r="W35" s="3">
        <v>2548.3636999999999</v>
      </c>
      <c r="X35" s="3">
        <v>0.90317672250913217</v>
      </c>
      <c r="Y35" s="3">
        <v>4398.2420000000002</v>
      </c>
      <c r="Z35" s="3">
        <f t="shared" ref="Z35:Z42" si="0">AVERAGE(Z3,Z7,Z11,Z15,Z19,Z23,Z27,Z31)</f>
        <v>1382.849162875</v>
      </c>
      <c r="AA35" s="3">
        <v>5.5</v>
      </c>
      <c r="AB35" s="3">
        <v>6.9440641000000003</v>
      </c>
      <c r="AC35" s="3">
        <v>33708.31</v>
      </c>
      <c r="AD35" s="3">
        <v>90.52</v>
      </c>
      <c r="AE35" s="3">
        <v>0.83473352076288165</v>
      </c>
      <c r="AF35" s="3">
        <v>1.5104105398203436</v>
      </c>
      <c r="AG35" s="3">
        <v>-110.613976851129</v>
      </c>
      <c r="AH35" s="3">
        <v>8862.2170000000006</v>
      </c>
      <c r="AI35" s="3">
        <v>20.28321027797486</v>
      </c>
      <c r="AJ35" s="27">
        <v>4102.2879999999996</v>
      </c>
      <c r="AK35" s="27">
        <v>88.34937435273774</v>
      </c>
      <c r="AL35" s="27">
        <v>9.0533000000000002E-2</v>
      </c>
      <c r="AM35" s="27">
        <v>9.6769999999999998E-3</v>
      </c>
      <c r="AN35" s="27">
        <v>4.5890000000000002E-3</v>
      </c>
      <c r="AO35" s="27">
        <v>2.534872</v>
      </c>
      <c r="AP35" s="27">
        <v>1.318495</v>
      </c>
      <c r="AQ35" s="27">
        <v>7.25</v>
      </c>
      <c r="AR35" s="27">
        <v>150.95002053446743</v>
      </c>
      <c r="AS35" s="27">
        <v>24.947500000000002</v>
      </c>
    </row>
    <row r="36" spans="1:45" x14ac:dyDescent="0.2">
      <c r="A36" s="28">
        <v>41153</v>
      </c>
      <c r="B36" s="6">
        <v>10.282487359642786</v>
      </c>
      <c r="C36" s="8">
        <v>20.023420845441223</v>
      </c>
      <c r="D36" s="8">
        <v>17.220558296867576</v>
      </c>
      <c r="E36" s="6">
        <v>36.380965867811135</v>
      </c>
      <c r="F36" s="6">
        <v>3.2660339213128502</v>
      </c>
      <c r="G36" s="8">
        <v>23.138930717394178</v>
      </c>
      <c r="H36" s="6">
        <v>49.712097396565682</v>
      </c>
      <c r="I36" s="6">
        <v>88.1075076465373</v>
      </c>
      <c r="J36" s="6">
        <v>22.95</v>
      </c>
      <c r="K36" s="6">
        <v>44.590299999999999</v>
      </c>
      <c r="L36" s="3">
        <v>12249.142</v>
      </c>
      <c r="M36" s="3">
        <v>2995.4110000000001</v>
      </c>
      <c r="N36" s="3">
        <v>1369.018</v>
      </c>
      <c r="O36" s="3">
        <v>4596.7079999999996</v>
      </c>
      <c r="P36" s="3">
        <v>2170.4659999999999</v>
      </c>
      <c r="Q36" s="4">
        <v>8178.2520000000004</v>
      </c>
      <c r="R36" s="3">
        <v>7.9306833999999995</v>
      </c>
      <c r="S36" s="3">
        <v>1.2015938435182338</v>
      </c>
      <c r="T36" s="3">
        <v>14.391893676928236</v>
      </c>
      <c r="U36" s="4">
        <v>230.80587480000003</v>
      </c>
      <c r="V36" s="7">
        <v>0.99376510620117198</v>
      </c>
      <c r="W36" s="3">
        <v>2685.3948</v>
      </c>
      <c r="X36" s="3">
        <v>1.3443261093008505</v>
      </c>
      <c r="Y36" s="3">
        <v>4899.38</v>
      </c>
      <c r="Z36" s="3">
        <f t="shared" si="0"/>
        <v>1402.4371657500001</v>
      </c>
      <c r="AA36" s="3">
        <v>5.5</v>
      </c>
      <c r="AB36" s="3">
        <v>7.9306833999999995</v>
      </c>
      <c r="AC36" s="3">
        <v>35757.980000000003</v>
      </c>
      <c r="AD36" s="3">
        <v>90.43</v>
      </c>
      <c r="AE36" s="3">
        <v>0.40655842081378069</v>
      </c>
      <c r="AF36" s="3">
        <v>1.5509906022213904</v>
      </c>
      <c r="AG36" s="3">
        <v>-116.70777011022</v>
      </c>
      <c r="AH36" s="3">
        <v>9304.6450000000004</v>
      </c>
      <c r="AI36" s="3">
        <v>20.137261169623187</v>
      </c>
      <c r="AJ36" s="27">
        <v>4676.2380000000003</v>
      </c>
      <c r="AK36" s="27">
        <v>88.1075076465373</v>
      </c>
      <c r="AL36" s="27">
        <v>0.108719</v>
      </c>
      <c r="AM36" s="27">
        <v>1.2255E-2</v>
      </c>
      <c r="AN36" s="27">
        <v>6.0060000000000001E-3</v>
      </c>
      <c r="AO36" s="27">
        <v>3.6491451000000001</v>
      </c>
      <c r="AP36" s="27">
        <v>1.696769</v>
      </c>
      <c r="AQ36" s="27">
        <v>7.25</v>
      </c>
      <c r="AR36" s="27">
        <v>151.69385045027875</v>
      </c>
      <c r="AS36" s="27">
        <v>24.774999999999999</v>
      </c>
    </row>
    <row r="37" spans="1:45" x14ac:dyDescent="0.2">
      <c r="A37" s="28">
        <v>41244</v>
      </c>
      <c r="B37" s="3">
        <v>10.670756499431453</v>
      </c>
      <c r="C37" s="8">
        <v>21.066141844870874</v>
      </c>
      <c r="D37" s="8">
        <v>18.199504246714739</v>
      </c>
      <c r="E37" s="3">
        <v>35.276050821305567</v>
      </c>
      <c r="F37" s="3">
        <v>4.0300768083938499</v>
      </c>
      <c r="G37" s="8">
        <v>24.75362821180682</v>
      </c>
      <c r="H37" s="3">
        <v>49.18558963647326</v>
      </c>
      <c r="I37" s="3">
        <v>86.798947659978026</v>
      </c>
      <c r="J37" s="3">
        <v>24.6661355952</v>
      </c>
      <c r="K37" s="3">
        <v>42.719410000000003</v>
      </c>
      <c r="L37" s="3">
        <v>12540.807360069999</v>
      </c>
      <c r="M37" s="3">
        <v>3014.4630000000002</v>
      </c>
      <c r="N37" s="3">
        <v>1381.173</v>
      </c>
      <c r="O37" s="3">
        <v>4860.4129999999996</v>
      </c>
      <c r="P37" s="3">
        <v>2238.6058033199997</v>
      </c>
      <c r="Q37" s="4">
        <v>7943.27</v>
      </c>
      <c r="R37" s="3">
        <v>8.7019608999999996</v>
      </c>
      <c r="S37" s="3">
        <v>1.7526618085993428</v>
      </c>
      <c r="T37" s="3">
        <v>14.568471603360017</v>
      </c>
      <c r="U37" s="4">
        <v>227.33688370000002</v>
      </c>
      <c r="V37" s="7">
        <v>0.99251182556152306</v>
      </c>
      <c r="W37" s="3">
        <v>2772.8690999999999</v>
      </c>
      <c r="X37" s="3">
        <v>2.947881834833781</v>
      </c>
      <c r="Y37" s="3">
        <v>5638.25</v>
      </c>
      <c r="Z37" s="3">
        <f t="shared" si="0"/>
        <v>1444.9394178750001</v>
      </c>
      <c r="AA37" s="3">
        <v>5.5</v>
      </c>
      <c r="AB37" s="3">
        <v>8.7019608999999996</v>
      </c>
      <c r="AC37" s="3">
        <v>39250.239999999998</v>
      </c>
      <c r="AD37" s="3">
        <v>87.71</v>
      </c>
      <c r="AE37" s="3">
        <v>0.4769428020024975</v>
      </c>
      <c r="AF37" s="3">
        <v>1.6019349404888479</v>
      </c>
      <c r="AG37" s="3">
        <v>-113.06623624909599</v>
      </c>
      <c r="AH37" s="3">
        <v>9657.8379999999997</v>
      </c>
      <c r="AI37" s="3">
        <v>19.948155502662775</v>
      </c>
      <c r="AJ37" s="27">
        <v>4377.6400000000003</v>
      </c>
      <c r="AK37" s="27">
        <v>86.798947659978026</v>
      </c>
      <c r="AL37" s="27">
        <v>0.132855</v>
      </c>
      <c r="AM37" s="27">
        <v>2.189E-2</v>
      </c>
      <c r="AN37" s="27">
        <v>9.9089999999999994E-3</v>
      </c>
      <c r="AO37" s="27">
        <v>5.7591709699999996</v>
      </c>
      <c r="AP37" s="27">
        <v>3.3235769999999998</v>
      </c>
      <c r="AQ37" s="27">
        <v>7.25</v>
      </c>
      <c r="AR37" s="27">
        <v>154.69614508347215</v>
      </c>
      <c r="AS37" s="27">
        <v>24.602499999999999</v>
      </c>
    </row>
    <row r="38" spans="1:45" x14ac:dyDescent="0.2">
      <c r="A38" s="28">
        <v>41334</v>
      </c>
      <c r="B38" s="6">
        <v>8.1770404157136802</v>
      </c>
      <c r="C38" s="8">
        <v>24.510115488856297</v>
      </c>
      <c r="D38" s="8">
        <v>21.377824376117339</v>
      </c>
      <c r="E38" s="6">
        <v>22.176756198407634</v>
      </c>
      <c r="F38" s="6">
        <v>3.7837973035908625</v>
      </c>
      <c r="G38" s="8">
        <v>27.212611356392401</v>
      </c>
      <c r="H38" s="6">
        <v>46.16127192019173</v>
      </c>
      <c r="I38" s="6">
        <v>89.729321881798654</v>
      </c>
      <c r="J38" s="6">
        <v>19.263501411131234</v>
      </c>
      <c r="K38" s="6">
        <v>37.392650000000003</v>
      </c>
      <c r="L38" s="3">
        <v>12938.270995429999</v>
      </c>
      <c r="M38" s="3">
        <v>3119.6680000000001</v>
      </c>
      <c r="N38" s="3">
        <v>1368.72</v>
      </c>
      <c r="O38" s="3">
        <v>5258.4790000000003</v>
      </c>
      <c r="P38" s="3">
        <v>2307.2721728400002</v>
      </c>
      <c r="Q38" s="4">
        <v>7942.9090249300007</v>
      </c>
      <c r="R38" s="3">
        <v>9</v>
      </c>
      <c r="S38" s="3">
        <v>1.6668643142860651</v>
      </c>
      <c r="T38" s="3">
        <v>11.41161405798575</v>
      </c>
      <c r="U38" s="4">
        <v>245.58797920000001</v>
      </c>
      <c r="V38" s="7">
        <v>0.98994148254394498</v>
      </c>
      <c r="W38" s="3">
        <v>2558.9018000000005</v>
      </c>
      <c r="X38" s="3">
        <v>2.0215591769325405</v>
      </c>
      <c r="Y38" s="3">
        <v>6256.4110000000001</v>
      </c>
      <c r="Z38" s="3">
        <f t="shared" si="0"/>
        <v>1413.4140269843751</v>
      </c>
      <c r="AA38" s="3">
        <v>5</v>
      </c>
      <c r="AB38" s="3">
        <v>9</v>
      </c>
      <c r="AC38" s="3">
        <v>39860.839999999997</v>
      </c>
      <c r="AD38" s="3">
        <v>84.19</v>
      </c>
      <c r="AE38" s="3">
        <v>0.77602471495237069</v>
      </c>
      <c r="AF38" s="3">
        <v>1.5894533900281889</v>
      </c>
      <c r="AG38" s="3">
        <v>-109.517420303516</v>
      </c>
      <c r="AH38" s="3">
        <v>10145.851000000001</v>
      </c>
      <c r="AI38" s="3">
        <v>19.120072443683295</v>
      </c>
      <c r="AJ38" s="27">
        <v>4374.5461108100008</v>
      </c>
      <c r="AK38" s="27">
        <v>89.729321881798654</v>
      </c>
      <c r="AL38" s="27">
        <v>0.14833499999999999</v>
      </c>
      <c r="AM38" s="27">
        <v>2.8201E-2</v>
      </c>
      <c r="AN38" s="27">
        <v>1.4531000000000001E-2</v>
      </c>
      <c r="AO38" s="27">
        <v>7.5880298000000002</v>
      </c>
      <c r="AP38" s="27">
        <v>4.8332280000000001</v>
      </c>
      <c r="AQ38" s="27">
        <v>7.25</v>
      </c>
      <c r="AR38" s="27">
        <v>157.50809633324278</v>
      </c>
      <c r="AS38" s="27">
        <v>24.43</v>
      </c>
    </row>
    <row r="39" spans="1:45" x14ac:dyDescent="0.2">
      <c r="A39" s="28">
        <v>41426</v>
      </c>
      <c r="B39" s="3">
        <v>8.1356502864906481</v>
      </c>
      <c r="C39" s="8">
        <v>26.289998962314602</v>
      </c>
      <c r="D39" s="8">
        <v>22.980000246722401</v>
      </c>
      <c r="E39" s="3">
        <v>23.168434016811769</v>
      </c>
      <c r="F39" s="3">
        <v>3.3956698498977271</v>
      </c>
      <c r="G39" s="8">
        <v>24.501065040194366</v>
      </c>
      <c r="H39" s="3">
        <v>46.999278638503675</v>
      </c>
      <c r="I39" s="3">
        <v>84.00889718093822</v>
      </c>
      <c r="J39" s="3">
        <v>21.027708772489266</v>
      </c>
      <c r="K39" s="3">
        <v>33.397579999999998</v>
      </c>
      <c r="L39" s="3">
        <v>13091.433229829998</v>
      </c>
      <c r="M39" s="3">
        <v>2913.55</v>
      </c>
      <c r="N39" s="3">
        <v>1451.883</v>
      </c>
      <c r="O39" s="3">
        <v>5013.6660000000002</v>
      </c>
      <c r="P39" s="3">
        <v>2325.2998234799998</v>
      </c>
      <c r="Q39" s="4">
        <v>8435.4390000000003</v>
      </c>
      <c r="R39" s="3">
        <v>8.5669038999999998</v>
      </c>
      <c r="S39" s="3">
        <v>4.3079253489417768</v>
      </c>
      <c r="T39" s="3">
        <v>19.92037322250669</v>
      </c>
      <c r="U39" s="4">
        <v>247.2100198</v>
      </c>
      <c r="V39" s="7">
        <v>0.98579254150390594</v>
      </c>
      <c r="W39" s="3">
        <v>2765.1738000000005</v>
      </c>
      <c r="X39" s="3">
        <v>2.5697917160886279</v>
      </c>
      <c r="Y39" s="3">
        <v>7079.2809999999999</v>
      </c>
      <c r="Z39" s="3">
        <f t="shared" si="0"/>
        <v>1400.985108109375</v>
      </c>
      <c r="AA39" s="3">
        <v>5</v>
      </c>
      <c r="AB39" s="3">
        <v>8.5669038999999998</v>
      </c>
      <c r="AC39" s="3">
        <v>39578.1</v>
      </c>
      <c r="AD39" s="3">
        <v>79.099999999999994</v>
      </c>
      <c r="AE39" s="3">
        <v>0.72737858352650164</v>
      </c>
      <c r="AF39" s="3">
        <v>1.630532704464698</v>
      </c>
      <c r="AG39" s="3">
        <v>-104.30754520386699</v>
      </c>
      <c r="AH39" s="3">
        <v>9880.1450000000004</v>
      </c>
      <c r="AI39" s="3">
        <v>18.72429607878842</v>
      </c>
      <c r="AJ39" s="27">
        <v>4613.2860000000001</v>
      </c>
      <c r="AK39" s="27">
        <v>84.00889718093822</v>
      </c>
      <c r="AL39" s="27">
        <v>0.163351</v>
      </c>
      <c r="AM39" s="27">
        <v>3.6741999999999997E-2</v>
      </c>
      <c r="AN39" s="27">
        <v>1.8610999999999999E-2</v>
      </c>
      <c r="AO39" s="27">
        <v>10.00439755</v>
      </c>
      <c r="AP39" s="27">
        <v>6.4407229500000005</v>
      </c>
      <c r="AQ39" s="27">
        <v>7.25</v>
      </c>
      <c r="AR39" s="27">
        <v>159.76293542400251</v>
      </c>
      <c r="AS39" s="27">
        <v>24.2775</v>
      </c>
    </row>
    <row r="40" spans="1:45" x14ac:dyDescent="0.2">
      <c r="A40" s="28">
        <v>41518</v>
      </c>
      <c r="B40" s="6">
        <v>7.6037087215418451</v>
      </c>
      <c r="C40" s="8">
        <v>24.280001076647945</v>
      </c>
      <c r="D40" s="8">
        <v>21.239997971895733</v>
      </c>
      <c r="E40" s="6">
        <v>21.462885687370548</v>
      </c>
      <c r="F40" s="6">
        <v>3.5421718363409025</v>
      </c>
      <c r="G40" s="8">
        <v>25.821430676208458</v>
      </c>
      <c r="H40" s="6">
        <v>46.688899576635059</v>
      </c>
      <c r="I40" s="6">
        <v>82.754720978507905</v>
      </c>
      <c r="J40" s="6">
        <v>19.967043589337067</v>
      </c>
      <c r="K40" s="6">
        <v>30.734210000000001</v>
      </c>
      <c r="L40" s="3">
        <v>13631.620394060001</v>
      </c>
      <c r="M40" s="3">
        <v>3311.29</v>
      </c>
      <c r="N40" s="3">
        <v>1480.579</v>
      </c>
      <c r="O40" s="3">
        <v>5356.2886856599998</v>
      </c>
      <c r="P40" s="3">
        <v>2350.3769529179999</v>
      </c>
      <c r="Q40" s="4">
        <v>8926.0419999999995</v>
      </c>
      <c r="R40" s="3">
        <v>7.7145921000000008</v>
      </c>
      <c r="S40" s="3">
        <v>1.8490750322155858</v>
      </c>
      <c r="T40" s="3">
        <v>22.09072358862332</v>
      </c>
      <c r="U40" s="4">
        <v>258.92341590000001</v>
      </c>
      <c r="V40" s="7">
        <v>0.98857406616210897</v>
      </c>
      <c r="W40" s="3">
        <v>2725.2889</v>
      </c>
      <c r="X40" s="3">
        <v>1.8381121134020622</v>
      </c>
      <c r="Y40" s="3">
        <v>7200.6490000000003</v>
      </c>
      <c r="Z40" s="3">
        <f t="shared" si="0"/>
        <v>1422.59751384375</v>
      </c>
      <c r="AA40" s="3">
        <v>5</v>
      </c>
      <c r="AB40" s="3">
        <v>7.7145921000000008</v>
      </c>
      <c r="AC40" s="3">
        <v>44031.83</v>
      </c>
      <c r="AD40" s="3">
        <v>80.53</v>
      </c>
      <c r="AE40" s="3">
        <v>0.47445959749717304</v>
      </c>
      <c r="AF40" s="3">
        <v>1.6700242825137066</v>
      </c>
      <c r="AG40" s="3">
        <v>-101.655491841521</v>
      </c>
      <c r="AH40" s="3">
        <v>10674.453</v>
      </c>
      <c r="AI40" s="3">
        <v>18.346546153917277</v>
      </c>
      <c r="AJ40" s="27">
        <v>4984.0619999999999</v>
      </c>
      <c r="AK40" s="27">
        <v>82.754720978507905</v>
      </c>
      <c r="AL40" s="27">
        <v>0.178899</v>
      </c>
      <c r="AM40" s="27">
        <v>3.9917000000000001E-2</v>
      </c>
      <c r="AN40" s="27">
        <v>2.1117E-2</v>
      </c>
      <c r="AO40" s="27">
        <v>11.119925</v>
      </c>
      <c r="AP40" s="27">
        <v>7.4321095000000001</v>
      </c>
      <c r="AQ40" s="27">
        <v>7.25</v>
      </c>
      <c r="AR40" s="27">
        <v>163.42175951813581</v>
      </c>
      <c r="AS40" s="27">
        <v>24.125</v>
      </c>
    </row>
    <row r="41" spans="1:45" x14ac:dyDescent="0.2">
      <c r="A41" s="28">
        <v>41609</v>
      </c>
      <c r="B41" s="3">
        <v>6.7934224061883892</v>
      </c>
      <c r="C41" s="8">
        <v>22.24207368431156</v>
      </c>
      <c r="D41" s="8">
        <v>19.302078104457802</v>
      </c>
      <c r="E41" s="3">
        <v>20.927973888369866</v>
      </c>
      <c r="F41" s="3">
        <v>3.0767649111498345</v>
      </c>
      <c r="G41" s="8">
        <v>22.654063471477233</v>
      </c>
      <c r="H41" s="3">
        <v>46.891054630839392</v>
      </c>
      <c r="I41" s="3">
        <v>83.704338856259184</v>
      </c>
      <c r="J41" s="3">
        <v>23.166253511051064</v>
      </c>
      <c r="K41" s="3">
        <v>29.402519999999999</v>
      </c>
      <c r="L41" s="3">
        <v>14438.140171879999</v>
      </c>
      <c r="M41" s="3">
        <v>3903.0329999999999</v>
      </c>
      <c r="N41" s="3">
        <v>1560.2840000000001</v>
      </c>
      <c r="O41" s="3">
        <v>5194.1490000000003</v>
      </c>
      <c r="P41" s="3">
        <v>2456.2460000000001</v>
      </c>
      <c r="Q41" s="4">
        <v>9606.6020000000008</v>
      </c>
      <c r="R41" s="3">
        <v>6.7549843000000003</v>
      </c>
      <c r="S41" s="3">
        <v>5.2523184354077435</v>
      </c>
      <c r="T41" s="3">
        <v>24.709475159378943</v>
      </c>
      <c r="U41" s="4">
        <v>246.56693209999997</v>
      </c>
      <c r="V41" s="7">
        <v>0.98670867919921901</v>
      </c>
      <c r="W41" s="3">
        <v>2715.2134999999998</v>
      </c>
      <c r="X41" s="3">
        <v>2.0035030376239034</v>
      </c>
      <c r="Y41" s="3">
        <v>7979.39</v>
      </c>
      <c r="Z41" s="3">
        <f t="shared" si="0"/>
        <v>1469.189283609375</v>
      </c>
      <c r="AA41" s="3">
        <v>5</v>
      </c>
      <c r="AB41" s="3">
        <v>6.7549843000000003</v>
      </c>
      <c r="AC41" s="3">
        <v>46256.226111759999</v>
      </c>
      <c r="AD41" s="3">
        <v>77.790000000000006</v>
      </c>
      <c r="AE41" s="3">
        <v>0.53835202912677005</v>
      </c>
      <c r="AF41" s="3">
        <v>1.7788235287767931</v>
      </c>
      <c r="AG41" s="3">
        <v>-100.552749174417</v>
      </c>
      <c r="AH41" s="3">
        <v>11196.933000000001</v>
      </c>
      <c r="AI41" s="3">
        <v>18.731039726236869</v>
      </c>
      <c r="AJ41" s="27">
        <v>5414.25</v>
      </c>
      <c r="AK41" s="27">
        <v>83.704338856259184</v>
      </c>
      <c r="AL41" s="27">
        <v>0.19261800000000001</v>
      </c>
      <c r="AM41" s="27">
        <v>4.9831E-2</v>
      </c>
      <c r="AN41" s="27">
        <v>2.6373000000000001E-2</v>
      </c>
      <c r="AO41" s="27">
        <v>16.860110649999999</v>
      </c>
      <c r="AP41" s="27">
        <v>11.012888800000001</v>
      </c>
      <c r="AQ41" s="27">
        <v>7.25</v>
      </c>
      <c r="AR41" s="27">
        <v>166.6309520630341</v>
      </c>
      <c r="AS41" s="27">
        <v>23.9725</v>
      </c>
    </row>
    <row r="42" spans="1:45" x14ac:dyDescent="0.2">
      <c r="A42" s="28">
        <v>41699</v>
      </c>
      <c r="B42" s="6">
        <v>7.3130061004875779</v>
      </c>
      <c r="C42" s="8">
        <v>21.065699824301543</v>
      </c>
      <c r="D42" s="8">
        <v>18.500257875881598</v>
      </c>
      <c r="E42" s="6">
        <v>18.274872987384192</v>
      </c>
      <c r="F42" s="6">
        <v>3.0356922949210601</v>
      </c>
      <c r="G42" s="4">
        <v>21.755747455250539</v>
      </c>
      <c r="H42" s="6">
        <v>48.497796712870702</v>
      </c>
      <c r="I42" s="6">
        <v>76.257090022572953</v>
      </c>
      <c r="J42" s="6">
        <v>25.316562502151701</v>
      </c>
      <c r="K42" s="6">
        <v>15.7410279275036</v>
      </c>
      <c r="L42" s="3">
        <v>13677.628292289999</v>
      </c>
      <c r="M42" s="3">
        <v>3359.3969999999999</v>
      </c>
      <c r="N42" s="3">
        <v>1497.4649999999999</v>
      </c>
      <c r="O42" s="3">
        <v>5438.1139999999996</v>
      </c>
      <c r="P42" s="3">
        <v>2536.9049032120001</v>
      </c>
      <c r="Q42" s="4">
        <v>9625.5730000000003</v>
      </c>
      <c r="R42" s="3">
        <v>5.9999998999999997</v>
      </c>
      <c r="S42" s="3">
        <v>0.18919928396758934</v>
      </c>
      <c r="T42" s="3">
        <v>12.121655501916909</v>
      </c>
      <c r="U42" s="4">
        <v>281.5395891</v>
      </c>
      <c r="V42" s="7">
        <v>0.98897438049316411</v>
      </c>
      <c r="W42" s="3">
        <v>2842.7116000000001</v>
      </c>
      <c r="X42" s="3">
        <v>1.8771646188115256</v>
      </c>
      <c r="Y42" s="3">
        <v>8132.7659999999996</v>
      </c>
      <c r="Z42" s="3">
        <f t="shared" si="0"/>
        <v>1436.3967578574222</v>
      </c>
      <c r="AA42" s="3">
        <v>5</v>
      </c>
      <c r="AB42" s="3">
        <v>5.9999998999999997</v>
      </c>
      <c r="AC42" s="3">
        <v>47770.921820349999</v>
      </c>
      <c r="AD42" s="3">
        <v>77.13</v>
      </c>
      <c r="AE42" s="3">
        <v>-0.1379349505229186</v>
      </c>
      <c r="AF42" s="3">
        <v>1.830394835586834</v>
      </c>
      <c r="AG42" s="3">
        <v>-103.932558403215</v>
      </c>
      <c r="AH42" s="3">
        <v>10823.09</v>
      </c>
      <c r="AI42" s="3">
        <v>19.368760704691592</v>
      </c>
      <c r="AJ42" s="27">
        <v>5335.7749999999996</v>
      </c>
      <c r="AK42" s="27">
        <v>57.154500712173871</v>
      </c>
      <c r="AL42" s="27">
        <v>0.215951</v>
      </c>
      <c r="AM42" s="27">
        <v>6.3811999999999994E-2</v>
      </c>
      <c r="AN42" s="27">
        <v>3.2945000000000002E-2</v>
      </c>
      <c r="AO42" s="27">
        <v>19.688915399999999</v>
      </c>
      <c r="AP42" s="27">
        <v>13.499894699999999</v>
      </c>
      <c r="AQ42" s="27">
        <v>8.5</v>
      </c>
      <c r="AR42" s="27">
        <v>171.930263741511</v>
      </c>
      <c r="AS42" s="27">
        <v>23.82</v>
      </c>
    </row>
    <row r="43" spans="1:45" x14ac:dyDescent="0.2">
      <c r="A43" s="28">
        <v>41791</v>
      </c>
      <c r="B43" s="3">
        <v>7.532652035774916</v>
      </c>
      <c r="C43" s="8">
        <v>21.532552614541707</v>
      </c>
      <c r="D43" s="8">
        <v>18.523121687387547</v>
      </c>
      <c r="E43" s="3">
        <v>18.13510158327934</v>
      </c>
      <c r="F43" s="3">
        <v>2.35394086213664</v>
      </c>
      <c r="G43" s="4">
        <v>17.2270068892974</v>
      </c>
      <c r="H43" s="3">
        <v>46.412843500573544</v>
      </c>
      <c r="I43" s="3">
        <v>76.539732946918733</v>
      </c>
      <c r="J43" s="3">
        <v>23.189559585128499</v>
      </c>
      <c r="K43" s="3">
        <v>16.644612399371383</v>
      </c>
      <c r="L43" s="3">
        <v>14419.08509749</v>
      </c>
      <c r="M43" s="3">
        <v>3454.194</v>
      </c>
      <c r="N43" s="3">
        <v>1548.1010000000001</v>
      </c>
      <c r="O43" s="3">
        <v>5991.3649999999998</v>
      </c>
      <c r="P43" s="3">
        <v>2618.4456645800001</v>
      </c>
      <c r="Q43" s="4">
        <v>9857.9240000000009</v>
      </c>
      <c r="R43" s="3">
        <v>5.7615584999999996</v>
      </c>
      <c r="S43" s="3">
        <v>0.70783452701004279</v>
      </c>
      <c r="T43" s="3">
        <v>25.054068793000322</v>
      </c>
      <c r="U43" s="4">
        <v>252.89662189999999</v>
      </c>
      <c r="V43" s="7">
        <v>0.98605995178222694</v>
      </c>
      <c r="W43" s="3">
        <v>3086.6150999999995</v>
      </c>
      <c r="X43" s="3">
        <v>1.4326277881894685</v>
      </c>
      <c r="Y43" s="3">
        <v>7546.8270000000002</v>
      </c>
      <c r="Z43" s="3">
        <v>2493.0479999999998</v>
      </c>
      <c r="AA43" s="3">
        <v>5.5</v>
      </c>
      <c r="AB43" s="3">
        <v>5.7615584999999996</v>
      </c>
      <c r="AC43" s="3">
        <v>50945.259884010004</v>
      </c>
      <c r="AD43" s="3">
        <v>79.22</v>
      </c>
      <c r="AE43" s="3">
        <v>0.39466659953117755</v>
      </c>
      <c r="AF43" s="3">
        <v>1.900614617917384</v>
      </c>
      <c r="AG43" s="3">
        <v>-102.135967809601</v>
      </c>
      <c r="AH43" s="3">
        <v>11350.03</v>
      </c>
      <c r="AI43" s="3">
        <v>19.417037865516118</v>
      </c>
      <c r="AJ43" s="27">
        <v>5468.4520000000002</v>
      </c>
      <c r="AK43" s="27">
        <v>66.321048356592215</v>
      </c>
      <c r="AL43" s="27">
        <v>0.23147400000000001</v>
      </c>
      <c r="AM43" s="27">
        <v>7.1152000000000007E-2</v>
      </c>
      <c r="AN43" s="27">
        <v>3.8647000000000001E-2</v>
      </c>
      <c r="AO43" s="27">
        <v>20.583149550000002</v>
      </c>
      <c r="AP43" s="27">
        <v>13.873222500000001</v>
      </c>
      <c r="AQ43" s="27">
        <v>8.5</v>
      </c>
      <c r="AR43" s="27">
        <v>169.70957912869983</v>
      </c>
      <c r="AS43" s="27">
        <v>23.684999999999999</v>
      </c>
    </row>
    <row r="44" spans="1:45" x14ac:dyDescent="0.2">
      <c r="A44" s="28">
        <v>41883</v>
      </c>
      <c r="B44" s="6">
        <v>6.8128627936794555</v>
      </c>
      <c r="C44" s="8">
        <v>19.651493648665969</v>
      </c>
      <c r="D44" s="8">
        <v>15.337191443758764</v>
      </c>
      <c r="E44" s="6">
        <v>15.110827804637534</v>
      </c>
      <c r="F44" s="6">
        <v>2.4804690998234902</v>
      </c>
      <c r="G44" s="4">
        <v>17.963181906893738</v>
      </c>
      <c r="H44" s="6">
        <v>46.920534204325193</v>
      </c>
      <c r="I44" s="6">
        <v>79.696419113634775</v>
      </c>
      <c r="J44" s="6">
        <v>21.643235917838901</v>
      </c>
      <c r="K44" s="6">
        <v>20.89808307004445</v>
      </c>
      <c r="L44" s="3">
        <v>14982.859</v>
      </c>
      <c r="M44" s="3">
        <v>3568.7750000000001</v>
      </c>
      <c r="N44" s="3">
        <v>1587.62</v>
      </c>
      <c r="O44" s="3">
        <v>5737.366</v>
      </c>
      <c r="P44" s="3">
        <v>2741.7849999999999</v>
      </c>
      <c r="Q44" s="4">
        <v>10407.311</v>
      </c>
      <c r="R44" s="3">
        <v>5.8251109000000003</v>
      </c>
      <c r="S44" s="3">
        <v>-0.58375503519650929</v>
      </c>
      <c r="T44" s="3">
        <v>20.842615064853987</v>
      </c>
      <c r="U44" s="4">
        <v>261.23983290000001</v>
      </c>
      <c r="V44" s="7">
        <v>0.98345046997070296</v>
      </c>
      <c r="W44" s="3">
        <v>3296.1871999999998</v>
      </c>
      <c r="X44" s="3">
        <v>1.7491315136476424</v>
      </c>
      <c r="Y44" s="3">
        <v>7258.9849999999997</v>
      </c>
      <c r="Z44" s="3">
        <v>2574.0770000000002</v>
      </c>
      <c r="AA44" s="3">
        <v>5.5</v>
      </c>
      <c r="AB44" s="3">
        <v>5.8251109000000003</v>
      </c>
      <c r="AC44" s="3">
        <v>49336.306951159997</v>
      </c>
      <c r="AD44" s="3">
        <v>79.900000000000006</v>
      </c>
      <c r="AE44" s="3">
        <v>0.48057925605446883</v>
      </c>
      <c r="AF44" s="3">
        <v>1.9772301211637238</v>
      </c>
      <c r="AG44" s="3">
        <v>-97.1011735421624</v>
      </c>
      <c r="AH44" s="3">
        <v>11099.351000000001</v>
      </c>
      <c r="AI44" s="3">
        <v>19.598414198489593</v>
      </c>
      <c r="AJ44" s="27">
        <v>5866.9380000000001</v>
      </c>
      <c r="AK44" s="27">
        <v>70.902312514378053</v>
      </c>
      <c r="AL44" s="27">
        <v>0.25068299999999999</v>
      </c>
      <c r="AM44" s="27">
        <v>0.100677</v>
      </c>
      <c r="AN44" s="27">
        <v>5.3615999999999997E-2</v>
      </c>
      <c r="AO44" s="27">
        <v>29.009362280000001</v>
      </c>
      <c r="AP44" s="27">
        <v>19.5048785</v>
      </c>
      <c r="AQ44" s="27">
        <v>8.5</v>
      </c>
      <c r="AR44" s="27">
        <v>172.27475445856064</v>
      </c>
      <c r="AS44" s="27">
        <v>23.55</v>
      </c>
    </row>
    <row r="45" spans="1:45" x14ac:dyDescent="0.2">
      <c r="A45" s="28">
        <v>41974</v>
      </c>
      <c r="B45" s="3">
        <v>6.6211396045513613</v>
      </c>
      <c r="C45" s="8">
        <v>24.894404898249601</v>
      </c>
      <c r="D45" s="8">
        <v>21.302604847694269</v>
      </c>
      <c r="E45" s="3">
        <v>14.687698198079429</v>
      </c>
      <c r="F45" s="3">
        <v>2.6744366958365</v>
      </c>
      <c r="G45" s="4">
        <v>19.773452817533848</v>
      </c>
      <c r="H45" s="3">
        <v>47.027034049020436</v>
      </c>
      <c r="I45" s="3">
        <v>77.414465126215745</v>
      </c>
      <c r="J45" s="3">
        <v>27.586992690122798</v>
      </c>
      <c r="K45" s="3">
        <v>23.393610343795977</v>
      </c>
      <c r="L45" s="3">
        <v>15163.820412264999</v>
      </c>
      <c r="M45" s="3">
        <v>3718.4859999999999</v>
      </c>
      <c r="N45" s="3">
        <v>1642.8040000000001</v>
      </c>
      <c r="O45" s="3">
        <v>6044.2089999999998</v>
      </c>
      <c r="P45" s="3">
        <v>2748.4942351599998</v>
      </c>
      <c r="Q45" s="4">
        <v>10580.089</v>
      </c>
      <c r="R45" s="3">
        <v>5.9761078000000003</v>
      </c>
      <c r="S45" s="3">
        <v>1.8669048382964126</v>
      </c>
      <c r="T45" s="3">
        <v>27.522960485963981</v>
      </c>
      <c r="U45" s="4">
        <v>254.89113600000002</v>
      </c>
      <c r="V45" s="7">
        <v>0.99416442871093802</v>
      </c>
      <c r="W45" s="3">
        <v>3400.4086000000002</v>
      </c>
      <c r="X45" s="3">
        <v>0.49503594557661468</v>
      </c>
      <c r="Y45" s="3">
        <v>7993.7110000000002</v>
      </c>
      <c r="Z45" s="3">
        <v>2623.0189999999998</v>
      </c>
      <c r="AA45" s="3">
        <v>5.5</v>
      </c>
      <c r="AB45" s="3">
        <v>5.9761078000000003</v>
      </c>
      <c r="AC45" s="3">
        <v>49770.597054830003</v>
      </c>
      <c r="AD45" s="3">
        <v>81.06</v>
      </c>
      <c r="AE45" s="3">
        <v>0.74877563834854755</v>
      </c>
      <c r="AF45" s="3">
        <v>1.9888486400919425</v>
      </c>
      <c r="AG45" s="3">
        <v>-91.768659546482496</v>
      </c>
      <c r="AH45" s="3">
        <v>11638.648999999999</v>
      </c>
      <c r="AI45" s="3">
        <v>19.213590782663019</v>
      </c>
      <c r="AJ45" s="27">
        <v>5916.44</v>
      </c>
      <c r="AK45" s="27">
        <v>71.019458340410111</v>
      </c>
      <c r="AL45" s="27">
        <v>0.25605600000000001</v>
      </c>
      <c r="AM45" s="27">
        <v>0.12012399999999999</v>
      </c>
      <c r="AN45" s="27">
        <v>6.4739000000000005E-2</v>
      </c>
      <c r="AO45" s="27">
        <v>37.070914999999999</v>
      </c>
      <c r="AP45" s="27">
        <v>26.283739000000001</v>
      </c>
      <c r="AQ45" s="27">
        <v>8.5</v>
      </c>
      <c r="AR45" s="27">
        <v>175.09545899608554</v>
      </c>
      <c r="AS45" s="27">
        <v>23.414999999999999</v>
      </c>
    </row>
    <row r="46" spans="1:45" x14ac:dyDescent="0.2">
      <c r="A46" s="28">
        <v>42064</v>
      </c>
      <c r="B46" s="6">
        <v>6.5035846445838779</v>
      </c>
      <c r="C46" s="8">
        <v>22.352397106767761</v>
      </c>
      <c r="D46" s="8">
        <v>19.14222220674197</v>
      </c>
      <c r="E46" s="6">
        <v>12.815004159771599</v>
      </c>
      <c r="F46" s="6">
        <v>3.1804301624189399</v>
      </c>
      <c r="G46" s="4">
        <v>21.072486576621781</v>
      </c>
      <c r="H46" s="6">
        <v>48.269342435495169</v>
      </c>
      <c r="I46" s="6">
        <v>71.430302220602371</v>
      </c>
      <c r="J46" s="6">
        <v>25.061113127005399</v>
      </c>
      <c r="K46" s="6">
        <v>26.755132305156149</v>
      </c>
      <c r="L46" s="3">
        <v>14532.585880000001</v>
      </c>
      <c r="M46" s="3">
        <v>3612.395</v>
      </c>
      <c r="N46" s="3">
        <v>1586.866</v>
      </c>
      <c r="O46" s="3">
        <v>5764.8029999999999</v>
      </c>
      <c r="P46" s="3">
        <v>2873.1659</v>
      </c>
      <c r="Q46" s="4">
        <v>10444.998</v>
      </c>
      <c r="R46" s="3">
        <v>6</v>
      </c>
      <c r="S46" s="3">
        <v>-1.4731436649436658</v>
      </c>
      <c r="T46" s="3">
        <v>29.503011818662412</v>
      </c>
      <c r="U46" s="4">
        <v>304.90487560000003</v>
      </c>
      <c r="V46" s="7">
        <v>0.98632026672363293</v>
      </c>
      <c r="W46" s="3">
        <v>3460.1442000000002</v>
      </c>
      <c r="X46" s="3">
        <v>1.7116191573738262</v>
      </c>
      <c r="Y46" s="3">
        <v>8192.3520000000008</v>
      </c>
      <c r="Z46" s="3">
        <v>2639.8760000000002</v>
      </c>
      <c r="AA46" s="3">
        <v>5.75</v>
      </c>
      <c r="AB46" s="3">
        <v>6</v>
      </c>
      <c r="AC46" s="3">
        <v>52181.945747739999</v>
      </c>
      <c r="AD46" s="3">
        <v>82.05</v>
      </c>
      <c r="AE46" s="3">
        <v>0.72235218227727671</v>
      </c>
      <c r="AF46" s="3">
        <v>2.0549084127408066</v>
      </c>
      <c r="AG46" s="3">
        <v>-86.498683585636002</v>
      </c>
      <c r="AH46" s="3">
        <v>11012.905000000001</v>
      </c>
      <c r="AI46" s="3">
        <v>17.97586101278257</v>
      </c>
      <c r="AJ46" s="27">
        <v>5575.7420000000002</v>
      </c>
      <c r="AK46" s="27">
        <v>68.428466126742691</v>
      </c>
      <c r="AL46" s="27">
        <v>0.27398400000000001</v>
      </c>
      <c r="AM46" s="27">
        <v>0.12181</v>
      </c>
      <c r="AN46" s="27">
        <v>7.1403999999999995E-2</v>
      </c>
      <c r="AO46" s="27">
        <v>36.617534999999997</v>
      </c>
      <c r="AP46" s="27">
        <v>25.382646000000001</v>
      </c>
      <c r="AQ46" s="27">
        <v>8.75</v>
      </c>
      <c r="AR46" s="27">
        <v>177.11564316635031</v>
      </c>
      <c r="AS46" s="27">
        <v>23.28</v>
      </c>
    </row>
    <row r="47" spans="1:45" x14ac:dyDescent="0.2">
      <c r="A47" s="28">
        <v>42156</v>
      </c>
      <c r="B47" s="3">
        <v>6.4605361345529948</v>
      </c>
      <c r="C47" s="8">
        <v>22.383904657137389</v>
      </c>
      <c r="D47" s="8">
        <v>19.285979051080925</v>
      </c>
      <c r="E47" s="3">
        <v>14.315096208976442</v>
      </c>
      <c r="F47" s="3">
        <v>3.2259728597195401</v>
      </c>
      <c r="G47" s="4">
        <v>22.247118745653548</v>
      </c>
      <c r="H47" s="3">
        <v>49.489800538723436</v>
      </c>
      <c r="I47" s="3">
        <v>73.5140623153532</v>
      </c>
      <c r="J47" s="3">
        <v>24.5620801222822</v>
      </c>
      <c r="K47" s="3">
        <v>18.458089713665039</v>
      </c>
      <c r="L47" s="3">
        <v>15407.551385510531</v>
      </c>
      <c r="M47" s="3">
        <v>3768.25</v>
      </c>
      <c r="N47" s="3">
        <v>1628.316</v>
      </c>
      <c r="O47" s="3">
        <v>6209.6750000000002</v>
      </c>
      <c r="P47" s="3">
        <v>2950.4354310500003</v>
      </c>
      <c r="Q47" s="4">
        <v>10824.120999999999</v>
      </c>
      <c r="R47" s="3">
        <v>5.6822382000000005</v>
      </c>
      <c r="S47" s="3">
        <v>3.3714681481943343</v>
      </c>
      <c r="T47" s="3">
        <v>24.769824917193979</v>
      </c>
      <c r="U47" s="4">
        <v>263.20902219999999</v>
      </c>
      <c r="V47" s="7">
        <v>0.97744972229003901</v>
      </c>
      <c r="W47" s="3">
        <v>3439.5587</v>
      </c>
      <c r="X47" s="3">
        <v>1.1655801663444998</v>
      </c>
      <c r="Y47" s="3">
        <v>7912.433</v>
      </c>
      <c r="Z47" s="3">
        <v>2696.48</v>
      </c>
      <c r="AA47" s="3">
        <v>5.75</v>
      </c>
      <c r="AB47" s="3">
        <v>5.6822382000000005</v>
      </c>
      <c r="AC47" s="3">
        <v>51806.946446909998</v>
      </c>
      <c r="AD47" s="3">
        <v>81.3</v>
      </c>
      <c r="AE47" s="3">
        <v>-0.84426262987881273</v>
      </c>
      <c r="AF47" s="3">
        <v>2.0315194323414119</v>
      </c>
      <c r="AG47" s="3">
        <v>-86.475429847086104</v>
      </c>
      <c r="AH47" s="3">
        <v>11667.564</v>
      </c>
      <c r="AI47" s="3">
        <v>17.366866298513159</v>
      </c>
      <c r="AJ47" s="27">
        <v>5804.46</v>
      </c>
      <c r="AK47" s="27">
        <v>67.170921291091261</v>
      </c>
      <c r="AL47" s="27">
        <v>0.291489</v>
      </c>
      <c r="AM47" s="27">
        <v>0.17427799999999999</v>
      </c>
      <c r="AN47" s="27">
        <v>9.4481999999999997E-2</v>
      </c>
      <c r="AO47" s="27">
        <v>49.158938999999997</v>
      </c>
      <c r="AP47" s="27">
        <v>32.699593999999998</v>
      </c>
      <c r="AQ47" s="27">
        <v>8.75</v>
      </c>
      <c r="AR47" s="27">
        <v>179.97088280933608</v>
      </c>
      <c r="AS47" s="27">
        <v>23.14</v>
      </c>
    </row>
    <row r="48" spans="1:45" x14ac:dyDescent="0.2">
      <c r="A48" s="28">
        <v>42248</v>
      </c>
      <c r="B48" s="6">
        <v>7.230241020633402</v>
      </c>
      <c r="C48" s="8">
        <v>32.017892865078544</v>
      </c>
      <c r="D48" s="8">
        <v>27.773961287810796</v>
      </c>
      <c r="E48" s="6">
        <v>17.436539747370038</v>
      </c>
      <c r="F48" s="6">
        <v>3.0106625569796299</v>
      </c>
      <c r="G48" s="4">
        <v>21.556954521810496</v>
      </c>
      <c r="H48" s="6">
        <v>49.548753630752934</v>
      </c>
      <c r="I48" s="6">
        <v>74.33374223371105</v>
      </c>
      <c r="J48" s="6">
        <v>29.575507918380399</v>
      </c>
      <c r="K48" s="6">
        <v>17.448019119634392</v>
      </c>
      <c r="L48" s="3">
        <v>16838.008148940531</v>
      </c>
      <c r="M48" s="3">
        <v>4002.777</v>
      </c>
      <c r="N48" s="3">
        <v>1663.134</v>
      </c>
      <c r="O48" s="3">
        <v>7317.3670000000002</v>
      </c>
      <c r="P48" s="3">
        <v>3097.9621922400001</v>
      </c>
      <c r="Q48" s="4">
        <v>10963.21</v>
      </c>
      <c r="R48" s="3">
        <v>5.2549194999999997</v>
      </c>
      <c r="S48" s="3">
        <v>-1.3461683277886438</v>
      </c>
      <c r="T48" s="3">
        <v>16.000953355124846</v>
      </c>
      <c r="U48" s="4">
        <v>259.50946060000001</v>
      </c>
      <c r="V48" s="7">
        <v>0.99123695373535203</v>
      </c>
      <c r="W48" s="3">
        <v>3583.4315999999994</v>
      </c>
      <c r="X48" s="3">
        <v>1.6572654258787269</v>
      </c>
      <c r="Y48" s="3">
        <v>8103.009</v>
      </c>
      <c r="Z48" s="3">
        <v>2792.8310000000001</v>
      </c>
      <c r="AA48" s="3">
        <v>5.75</v>
      </c>
      <c r="AB48" s="3">
        <v>5.2549194999999997</v>
      </c>
      <c r="AC48" s="3">
        <v>50088.85565695</v>
      </c>
      <c r="AD48" s="3">
        <v>77.02</v>
      </c>
      <c r="AE48" s="3">
        <v>0.45042400976491592</v>
      </c>
      <c r="AF48" s="3">
        <v>2.1141855024016731</v>
      </c>
      <c r="AG48" s="3">
        <v>-80.660101808927095</v>
      </c>
      <c r="AH48" s="3">
        <v>13084.593000000001</v>
      </c>
      <c r="AI48" s="3">
        <v>17.637116750218983</v>
      </c>
      <c r="AJ48" s="27">
        <v>5756.5780000000004</v>
      </c>
      <c r="AK48" s="27">
        <v>67.267966635009756</v>
      </c>
      <c r="AL48" s="27">
        <v>0.31222</v>
      </c>
      <c r="AM48" s="27">
        <v>0.196937</v>
      </c>
      <c r="AN48" s="27">
        <v>0.113165</v>
      </c>
      <c r="AO48" s="27">
        <v>60.593912000000003</v>
      </c>
      <c r="AP48" s="27">
        <v>40.212395999999998</v>
      </c>
      <c r="AQ48" s="27">
        <v>8.75</v>
      </c>
      <c r="AR48" s="27">
        <v>183.54270311055438</v>
      </c>
      <c r="AS48" s="27">
        <v>23</v>
      </c>
    </row>
    <row r="49" spans="1:45" x14ac:dyDescent="0.2">
      <c r="A49" s="28">
        <v>42339</v>
      </c>
      <c r="B49" s="3">
        <v>6.3710349787492584</v>
      </c>
      <c r="C49" s="8">
        <v>22.476788093980268</v>
      </c>
      <c r="D49" s="8">
        <v>19.986731764032793</v>
      </c>
      <c r="E49" s="3">
        <v>16.973217354903003</v>
      </c>
      <c r="F49" s="3">
        <v>3.1633178776251598</v>
      </c>
      <c r="G49" s="4">
        <v>23.103664129448639</v>
      </c>
      <c r="H49" s="3">
        <v>49.654476156955219</v>
      </c>
      <c r="I49" s="3">
        <v>72.605301583667696</v>
      </c>
      <c r="J49" s="3">
        <v>27.6677617766799</v>
      </c>
      <c r="K49" s="3">
        <v>42.069869716454903</v>
      </c>
      <c r="L49" s="3">
        <v>17969.128000000001</v>
      </c>
      <c r="M49" s="3">
        <v>4223.5910000000003</v>
      </c>
      <c r="N49" s="3">
        <v>1646.3820000000001</v>
      </c>
      <c r="O49" s="3">
        <v>7260.3519999999999</v>
      </c>
      <c r="P49" s="3">
        <v>3141.0770000000002</v>
      </c>
      <c r="Q49" s="4">
        <v>11067.2</v>
      </c>
      <c r="R49" s="3">
        <v>4.9501410999999997</v>
      </c>
      <c r="S49" s="3">
        <v>2.4590536571692079</v>
      </c>
      <c r="T49" s="3">
        <v>23.439728215407197</v>
      </c>
      <c r="U49" s="4">
        <v>277.07003040000001</v>
      </c>
      <c r="V49" s="7">
        <v>1.01363609313965</v>
      </c>
      <c r="W49" s="3">
        <v>3567.8474000000001</v>
      </c>
      <c r="X49" s="3">
        <v>1.4547768043387568</v>
      </c>
      <c r="Y49" s="3">
        <v>8522.2559999999994</v>
      </c>
      <c r="Z49" s="3">
        <v>2928.9290000000001</v>
      </c>
      <c r="AA49" s="3">
        <v>5.75</v>
      </c>
      <c r="AB49" s="3">
        <v>4.9501410999999997</v>
      </c>
      <c r="AC49" s="3">
        <v>50693.764417409999</v>
      </c>
      <c r="AD49" s="3">
        <v>73.16</v>
      </c>
      <c r="AE49" s="3">
        <v>0.43346618430486217</v>
      </c>
      <c r="AF49" s="3">
        <v>2.1219205666441385</v>
      </c>
      <c r="AG49" s="3">
        <v>-78.111545613634405</v>
      </c>
      <c r="AH49" s="3">
        <v>13219.08</v>
      </c>
      <c r="AI49" s="3">
        <v>17.251556101319331</v>
      </c>
      <c r="AJ49" s="27">
        <v>5556.77</v>
      </c>
      <c r="AK49" s="27">
        <v>65.859509488766207</v>
      </c>
      <c r="AL49" s="27">
        <v>0.333505</v>
      </c>
      <c r="AM49" s="27">
        <v>0.25668800000000003</v>
      </c>
      <c r="AN49" s="27">
        <v>0.15576200000000001</v>
      </c>
      <c r="AO49" s="27">
        <v>84.052219669999999</v>
      </c>
      <c r="AP49" s="27">
        <v>59.769137000000001</v>
      </c>
      <c r="AQ49" s="27">
        <v>8.75</v>
      </c>
      <c r="AR49" s="27">
        <v>187.08032613634762</v>
      </c>
      <c r="AS49" s="27">
        <v>22.86</v>
      </c>
    </row>
    <row r="50" spans="1:45" x14ac:dyDescent="0.2">
      <c r="A50" s="28">
        <v>42430</v>
      </c>
      <c r="B50" s="6">
        <v>7.6232830848172259</v>
      </c>
      <c r="C50" s="8">
        <v>22.798876208953999</v>
      </c>
      <c r="D50" s="8">
        <v>20.390765465276985</v>
      </c>
      <c r="E50" s="6">
        <v>20.551500299819615</v>
      </c>
      <c r="F50" s="6">
        <v>3.19386405439767</v>
      </c>
      <c r="G50" s="4">
        <v>21.676807836635511</v>
      </c>
      <c r="H50" s="6">
        <v>51.257408223273103</v>
      </c>
      <c r="I50" s="6">
        <v>76.913977462025812</v>
      </c>
      <c r="J50" s="6">
        <v>26.9369572597321</v>
      </c>
      <c r="K50" s="6">
        <v>37.050337755618621</v>
      </c>
      <c r="L50" s="3">
        <v>15136.142</v>
      </c>
      <c r="M50" s="3">
        <v>3584.3217720900025</v>
      </c>
      <c r="N50" s="3">
        <v>1600.19950965</v>
      </c>
      <c r="O50" s="3">
        <v>7312.9950391100001</v>
      </c>
      <c r="P50" s="3">
        <v>2230.1619999999998</v>
      </c>
      <c r="Q50" s="4">
        <v>10995.884199126658</v>
      </c>
      <c r="R50" s="3">
        <v>5.0000001000000003</v>
      </c>
      <c r="S50" s="3">
        <v>-0.21951845445987717</v>
      </c>
      <c r="T50" s="3">
        <v>30.570737560150675</v>
      </c>
      <c r="U50" s="4">
        <v>284.2805606</v>
      </c>
      <c r="V50" s="3">
        <v>1.0212858581543001</v>
      </c>
      <c r="W50" s="3">
        <v>3603.931</v>
      </c>
      <c r="X50" s="3">
        <v>1.7943918880926759</v>
      </c>
      <c r="Y50" s="3">
        <v>8523.241</v>
      </c>
      <c r="Z50" s="3">
        <v>3104.7739999999999</v>
      </c>
      <c r="AA50" s="3">
        <v>5.75</v>
      </c>
      <c r="AB50" s="3">
        <v>5.0000001000000003</v>
      </c>
      <c r="AC50" s="3">
        <v>52250.276790830001</v>
      </c>
      <c r="AD50" s="3">
        <v>72.3</v>
      </c>
      <c r="AE50" s="3">
        <v>0.23886475790229156</v>
      </c>
      <c r="AF50" s="3">
        <v>2.6295519218671695</v>
      </c>
      <c r="AG50" s="3">
        <v>-78.805498407264395</v>
      </c>
      <c r="AH50" s="3">
        <v>12741.608</v>
      </c>
      <c r="AI50" s="3">
        <v>13.048837827366214</v>
      </c>
      <c r="AJ50" s="27">
        <v>5153.1080300941112</v>
      </c>
      <c r="AK50" s="27">
        <v>68.526643145083767</v>
      </c>
      <c r="AL50" s="27">
        <v>0.35777300000000001</v>
      </c>
      <c r="AM50" s="27">
        <v>0.315973</v>
      </c>
      <c r="AN50" s="27">
        <v>0.17861399999999999</v>
      </c>
      <c r="AO50" s="27">
        <v>88.082860099999991</v>
      </c>
      <c r="AP50" s="27">
        <v>59.949945</v>
      </c>
      <c r="AQ50" s="27">
        <v>9</v>
      </c>
      <c r="AR50" s="27">
        <v>188.72834709239487</v>
      </c>
      <c r="AS50" s="27">
        <v>22.72</v>
      </c>
    </row>
    <row r="51" spans="1:45" x14ac:dyDescent="0.2">
      <c r="A51" s="28">
        <v>42522</v>
      </c>
      <c r="B51" s="3">
        <v>7.824377116306823</v>
      </c>
      <c r="C51" s="8">
        <v>19.754031813649249</v>
      </c>
      <c r="D51" s="8">
        <v>17.53318063583086</v>
      </c>
      <c r="E51" s="3">
        <v>20.667139967520662</v>
      </c>
      <c r="F51" s="3">
        <v>3.23441375768033</v>
      </c>
      <c r="G51" s="4">
        <v>22.396556472081588</v>
      </c>
      <c r="H51" s="3">
        <v>52.511961259064513</v>
      </c>
      <c r="I51" s="3">
        <v>76.195868288019312</v>
      </c>
      <c r="J51" s="3">
        <v>27.427475066867501</v>
      </c>
      <c r="K51" s="3">
        <v>39.109498348011563</v>
      </c>
      <c r="L51" s="3">
        <v>17907.951274589999</v>
      </c>
      <c r="M51" s="3">
        <v>3701.9283288800016</v>
      </c>
      <c r="N51" s="3">
        <v>1724.04215776</v>
      </c>
      <c r="O51" s="3">
        <v>7761.6535868299961</v>
      </c>
      <c r="P51" s="3">
        <v>3407.2695376875217</v>
      </c>
      <c r="Q51" s="4">
        <v>11346.23521422</v>
      </c>
      <c r="R51" s="3">
        <v>5.6365935999999994</v>
      </c>
      <c r="S51" s="3">
        <v>-0.45290636032110365</v>
      </c>
      <c r="T51" s="3">
        <v>14.254960390110085</v>
      </c>
      <c r="U51" s="4">
        <v>262.47001999999998</v>
      </c>
      <c r="V51" s="3">
        <v>1.02435371398926</v>
      </c>
      <c r="W51" s="3">
        <v>3641.5628000000006</v>
      </c>
      <c r="X51" s="3">
        <v>1.2991039772669841</v>
      </c>
      <c r="Y51" s="3">
        <v>8317.2759999999998</v>
      </c>
      <c r="Z51" s="3">
        <v>3245.0459999999998</v>
      </c>
      <c r="AA51" s="3">
        <v>6</v>
      </c>
      <c r="AB51" s="3">
        <v>5.6365935999999994</v>
      </c>
      <c r="AC51" s="3">
        <v>52217.716422209996</v>
      </c>
      <c r="AD51" s="3">
        <v>74.2</v>
      </c>
      <c r="AE51" s="3">
        <v>9.6213852476267903E-2</v>
      </c>
      <c r="AF51" s="3">
        <v>2.6779443062998234</v>
      </c>
      <c r="AG51" s="3">
        <v>-83.758187990543306</v>
      </c>
      <c r="AH51" s="3">
        <v>13589.361999999999</v>
      </c>
      <c r="AI51" s="3">
        <v>13.221175805862043</v>
      </c>
      <c r="AJ51" s="27">
        <v>5423.9922680115687</v>
      </c>
      <c r="AK51" s="27">
        <v>68.212173805808078</v>
      </c>
      <c r="AL51" s="27">
        <v>0.38323800000000002</v>
      </c>
      <c r="AM51" s="27">
        <v>0.351578</v>
      </c>
      <c r="AN51" s="27">
        <v>0.22398699999999999</v>
      </c>
      <c r="AO51" s="27">
        <v>104.25238476000001</v>
      </c>
      <c r="AP51" s="27">
        <v>74.229498500000005</v>
      </c>
      <c r="AQ51" s="27">
        <v>9.25</v>
      </c>
      <c r="AR51" s="27">
        <v>187.86696530561346</v>
      </c>
      <c r="AS51" s="27">
        <v>23.247499999999999</v>
      </c>
    </row>
    <row r="52" spans="1:45" x14ac:dyDescent="0.2">
      <c r="A52" s="28">
        <v>42614</v>
      </c>
      <c r="B52" s="6">
        <v>9.0610789298112593</v>
      </c>
      <c r="C52" s="8">
        <v>21.591806788474237</v>
      </c>
      <c r="D52" s="8">
        <v>19.044079897525247</v>
      </c>
      <c r="E52" s="6">
        <v>26.131300673220387</v>
      </c>
      <c r="F52" s="6">
        <v>2.92864172451866</v>
      </c>
      <c r="G52" s="4">
        <v>20.072405232062618</v>
      </c>
      <c r="H52" s="6">
        <v>53.114569382803033</v>
      </c>
      <c r="I52" s="6">
        <v>78.120002625719181</v>
      </c>
      <c r="J52" s="6">
        <v>30.2789179168191</v>
      </c>
      <c r="K52" s="6">
        <v>33.729865426770274</v>
      </c>
      <c r="L52" s="3">
        <v>18515.820885860001</v>
      </c>
      <c r="M52" s="3">
        <v>4195.990470513284</v>
      </c>
      <c r="N52" s="3">
        <v>1819.38689301</v>
      </c>
      <c r="O52" s="3">
        <v>8055.6052392100009</v>
      </c>
      <c r="P52" s="3">
        <v>3533.9387358599997</v>
      </c>
      <c r="Q52" s="4">
        <v>11845.772785930001</v>
      </c>
      <c r="R52" s="3">
        <v>6.5532434999999998</v>
      </c>
      <c r="S52" s="3">
        <v>1.099803342159178</v>
      </c>
      <c r="T52" s="3">
        <v>11.514221099636236</v>
      </c>
      <c r="U52" s="4">
        <v>254.8019974</v>
      </c>
      <c r="V52" s="3">
        <v>1.03906379699707</v>
      </c>
      <c r="W52" s="3">
        <v>4057.3565000000003</v>
      </c>
      <c r="X52" s="3">
        <v>1.5038859605398975</v>
      </c>
      <c r="Y52" s="3">
        <v>7486.3850000000002</v>
      </c>
      <c r="Z52" s="3">
        <v>3349.7449999999999</v>
      </c>
      <c r="AA52" s="3">
        <v>6.25</v>
      </c>
      <c r="AB52" s="3">
        <v>6.5532434999999998</v>
      </c>
      <c r="AC52" s="3">
        <v>51949.834228760003</v>
      </c>
      <c r="AD52" s="3">
        <v>80.150000000000006</v>
      </c>
      <c r="AE52" s="3">
        <v>-1.2183101536763274E-2</v>
      </c>
      <c r="AF52" s="3">
        <v>2.6695097775940408</v>
      </c>
      <c r="AG52" s="3">
        <v>-82.172980635625507</v>
      </c>
      <c r="AH52" s="3">
        <v>14510.253000000001</v>
      </c>
      <c r="AI52" s="3">
        <v>12.920684073272634</v>
      </c>
      <c r="AJ52" s="27">
        <v>5599.274993347527</v>
      </c>
      <c r="AK52" s="27">
        <v>70.215995565260357</v>
      </c>
      <c r="AL52" s="27">
        <v>0.40616799999999997</v>
      </c>
      <c r="AM52" s="27">
        <v>0.385405</v>
      </c>
      <c r="AN52" s="27">
        <v>0.26073499999999999</v>
      </c>
      <c r="AO52" s="27">
        <v>123.29508408</v>
      </c>
      <c r="AP52" s="27">
        <v>91.798885999999996</v>
      </c>
      <c r="AQ52" s="27">
        <v>9.25</v>
      </c>
      <c r="AR52" s="27">
        <v>192.31524125894825</v>
      </c>
      <c r="AS52" s="27">
        <v>23.774999999999999</v>
      </c>
    </row>
    <row r="53" spans="1:45" x14ac:dyDescent="0.2">
      <c r="A53" s="28">
        <v>42705</v>
      </c>
      <c r="B53" s="3">
        <v>9.2281356857922319</v>
      </c>
      <c r="C53" s="8">
        <v>22.209319413442902</v>
      </c>
      <c r="D53" s="8">
        <v>19.993036135580365</v>
      </c>
      <c r="E53" s="3">
        <v>27.094959026570287</v>
      </c>
      <c r="F53" s="3">
        <v>2.5022516465442899</v>
      </c>
      <c r="G53" s="4">
        <v>18.430718779111785</v>
      </c>
      <c r="H53" s="3">
        <v>54.155467001076715</v>
      </c>
      <c r="I53" s="3">
        <v>80.393495851255111</v>
      </c>
      <c r="J53" s="3">
        <v>28.554274785707001</v>
      </c>
      <c r="K53" s="3">
        <v>31.759797648896694</v>
      </c>
      <c r="L53" s="3">
        <v>20531.903376099999</v>
      </c>
      <c r="M53" s="3">
        <v>5472.8417709400001</v>
      </c>
      <c r="N53" s="3">
        <v>1829.3177440799998</v>
      </c>
      <c r="O53" s="3">
        <v>8894.4127257100008</v>
      </c>
      <c r="P53" s="3">
        <v>3673.0561640000001</v>
      </c>
      <c r="Q53" s="4">
        <v>12187.91963454</v>
      </c>
      <c r="R53" s="3">
        <v>7.4432716999999995</v>
      </c>
      <c r="S53" s="3">
        <v>-3.5382149831452048</v>
      </c>
      <c r="T53" s="3">
        <v>24.052859842320824</v>
      </c>
      <c r="U53" s="4">
        <v>251.9533792</v>
      </c>
      <c r="V53" s="3">
        <v>1.0253392791747999</v>
      </c>
      <c r="W53" s="3">
        <v>4427.0503999999992</v>
      </c>
      <c r="X53" s="3">
        <v>2.1083006818746348</v>
      </c>
      <c r="Y53" s="3">
        <v>7750.4970000000003</v>
      </c>
      <c r="Z53" s="3">
        <v>3418.87</v>
      </c>
      <c r="AA53" s="3">
        <v>6</v>
      </c>
      <c r="AB53" s="3">
        <v>7.4432716999999995</v>
      </c>
      <c r="AC53" s="3">
        <v>50653.542575740001</v>
      </c>
      <c r="AD53" s="3">
        <v>84.56</v>
      </c>
      <c r="AE53" s="3">
        <v>8.4913562659252761E-2</v>
      </c>
      <c r="AF53" s="3">
        <v>2.6817955500274602</v>
      </c>
      <c r="AG53" s="3">
        <v>-83.151545026438498</v>
      </c>
      <c r="AH53" s="3">
        <v>16708.080000000002</v>
      </c>
      <c r="AI53" s="3">
        <v>13.356947039220913</v>
      </c>
      <c r="AJ53" s="27">
        <v>5871.2450647059686</v>
      </c>
      <c r="AK53" s="27">
        <v>71.039814977213695</v>
      </c>
      <c r="AL53" s="27">
        <v>0.42904300000000001</v>
      </c>
      <c r="AM53" s="27">
        <v>0.43162800000000001</v>
      </c>
      <c r="AN53" s="27">
        <v>0.31262200000000001</v>
      </c>
      <c r="AO53" s="27">
        <v>154.28433278</v>
      </c>
      <c r="AP53" s="27">
        <v>121.722396</v>
      </c>
      <c r="AQ53" s="27">
        <v>9.25</v>
      </c>
      <c r="AR53" s="27">
        <v>196.03046513031165</v>
      </c>
      <c r="AS53" s="27">
        <v>24.302499999999998</v>
      </c>
    </row>
    <row r="54" spans="1:45" x14ac:dyDescent="0.2">
      <c r="A54" s="28">
        <v>42795</v>
      </c>
      <c r="B54" s="6">
        <v>9.9472859373092568</v>
      </c>
      <c r="C54" s="8">
        <v>23.468074523810156</v>
      </c>
      <c r="D54" s="8">
        <v>21.23774363402644</v>
      </c>
      <c r="E54" s="6">
        <v>30.059401458038394</v>
      </c>
      <c r="F54" s="6">
        <v>2.2667354300178402</v>
      </c>
      <c r="G54" s="4">
        <v>14.012103971277092</v>
      </c>
      <c r="H54" s="6">
        <v>58.905711735848797</v>
      </c>
      <c r="I54" s="6">
        <v>88.39528608854603</v>
      </c>
      <c r="J54" s="6">
        <v>28.443463874529201</v>
      </c>
      <c r="K54" s="6">
        <v>25.90902202521394</v>
      </c>
      <c r="L54" s="3">
        <v>17939.141387479998</v>
      </c>
      <c r="M54" s="3">
        <v>4128.8937826799993</v>
      </c>
      <c r="N54" s="3">
        <v>1780.38506702</v>
      </c>
      <c r="O54" s="3">
        <v>7856.457744530001</v>
      </c>
      <c r="P54" s="3">
        <v>3742.9400119299999</v>
      </c>
      <c r="Q54" s="4">
        <v>11874.596199429998</v>
      </c>
      <c r="R54" s="3">
        <v>8</v>
      </c>
      <c r="S54" s="3">
        <v>3.0248217867738125</v>
      </c>
      <c r="T54" s="3">
        <v>28.740770079864252</v>
      </c>
      <c r="U54" s="4">
        <v>289.16887880000002</v>
      </c>
      <c r="V54" s="3">
        <v>1.02438232421875</v>
      </c>
      <c r="W54" s="3">
        <v>5216.0995999999996</v>
      </c>
      <c r="X54" s="3">
        <v>1.2766974478683921</v>
      </c>
      <c r="Y54" s="3">
        <v>7351.4679999999998</v>
      </c>
      <c r="Z54" s="3">
        <v>3452.4229999999998</v>
      </c>
      <c r="AA54" s="3">
        <v>7</v>
      </c>
      <c r="AB54" s="3">
        <v>8</v>
      </c>
      <c r="AC54" s="3">
        <v>52056.057170990003</v>
      </c>
      <c r="AD54" s="3">
        <v>88.64</v>
      </c>
      <c r="AE54" s="3">
        <v>0.47212570114936625</v>
      </c>
      <c r="AF54" s="3">
        <v>2.743831860922032</v>
      </c>
      <c r="AG54" s="3">
        <v>-84.227042967149799</v>
      </c>
      <c r="AH54" s="3">
        <v>14370.227999999999</v>
      </c>
      <c r="AI54" s="3">
        <v>17.429644684616736</v>
      </c>
      <c r="AJ54" s="27">
        <v>5719.7624853387588</v>
      </c>
      <c r="AK54" s="27">
        <v>78.403488168737809</v>
      </c>
      <c r="AL54" s="27">
        <v>0.45868500000000001</v>
      </c>
      <c r="AM54" s="27">
        <v>0.49538300000000002</v>
      </c>
      <c r="AN54" s="27">
        <v>0.36878300000000003</v>
      </c>
      <c r="AO54" s="27">
        <v>160.07920209</v>
      </c>
      <c r="AP54" s="27">
        <v>132.63440499999999</v>
      </c>
      <c r="AQ54" s="27">
        <v>10</v>
      </c>
      <c r="AR54" s="27">
        <v>198.26745265696835</v>
      </c>
      <c r="AS54" s="27">
        <v>24.83</v>
      </c>
    </row>
    <row r="55" spans="1:45" x14ac:dyDescent="0.2">
      <c r="A55" s="28">
        <v>42887</v>
      </c>
      <c r="B55" s="3">
        <v>8.1747971112370994</v>
      </c>
      <c r="C55" s="8">
        <v>23.495202245140327</v>
      </c>
      <c r="D55" s="8">
        <v>20.979651550480774</v>
      </c>
      <c r="E55" s="3">
        <v>27.947250698868803</v>
      </c>
      <c r="F55" s="3">
        <v>2.1837619192559901</v>
      </c>
      <c r="G55" s="4">
        <v>15.652068485652872</v>
      </c>
      <c r="H55" s="3">
        <v>58.114444505591834</v>
      </c>
      <c r="I55" s="3">
        <v>88.675810286015235</v>
      </c>
      <c r="J55" s="3">
        <v>25.262624941662899</v>
      </c>
      <c r="K55" s="3">
        <v>18.895956759304195</v>
      </c>
      <c r="L55" s="3">
        <v>20459.239833339998</v>
      </c>
      <c r="M55" s="3">
        <v>5015.7630906972418</v>
      </c>
      <c r="N55" s="3">
        <v>1754.103691140004</v>
      </c>
      <c r="O55" s="3">
        <v>9195.1046812776713</v>
      </c>
      <c r="P55" s="3">
        <v>3778.4671496000001</v>
      </c>
      <c r="Q55" s="4">
        <v>12301.098290329999</v>
      </c>
      <c r="R55" s="3">
        <v>7.9167502999999995</v>
      </c>
      <c r="S55" s="3">
        <v>0.70015543693389137</v>
      </c>
      <c r="T55" s="3">
        <v>12.836530473947411</v>
      </c>
      <c r="U55" s="4">
        <v>260.44239879999998</v>
      </c>
      <c r="V55" s="3">
        <v>1.0008520507812499</v>
      </c>
      <c r="W55" s="3">
        <v>5380.0011999999988</v>
      </c>
      <c r="X55" s="3">
        <v>1.0708950516036235</v>
      </c>
      <c r="Y55" s="3">
        <v>6911.335</v>
      </c>
      <c r="Z55" s="3">
        <v>3486.7469999999998</v>
      </c>
      <c r="AA55" s="3">
        <v>7</v>
      </c>
      <c r="AB55" s="3">
        <v>7.9167502999999995</v>
      </c>
      <c r="AC55" s="3">
        <v>51611.01355761</v>
      </c>
      <c r="AD55" s="3">
        <v>88.07</v>
      </c>
      <c r="AE55" s="3">
        <v>0.54530290939673876</v>
      </c>
      <c r="AF55" s="3">
        <v>2.7362295671846479</v>
      </c>
      <c r="AG55" s="3">
        <v>-82.306611058886801</v>
      </c>
      <c r="AH55" s="3">
        <v>16462.608</v>
      </c>
      <c r="AI55" s="3">
        <v>17.262881271041365</v>
      </c>
      <c r="AJ55" s="27">
        <v>5879.4012211005002</v>
      </c>
      <c r="AK55" s="27">
        <v>76.241598627985908</v>
      </c>
      <c r="AL55" s="27">
        <v>0.47619699999999998</v>
      </c>
      <c r="AM55" s="27">
        <v>0.440307</v>
      </c>
      <c r="AN55" s="27">
        <v>0.38320599999999999</v>
      </c>
      <c r="AO55" s="27">
        <v>160.51147012000001</v>
      </c>
      <c r="AP55" s="27">
        <v>128.75930500000001</v>
      </c>
      <c r="AQ55" s="27">
        <v>10.5</v>
      </c>
      <c r="AR55" s="27">
        <v>204.05883756712242</v>
      </c>
      <c r="AS55" s="27">
        <v>25.3675</v>
      </c>
    </row>
    <row r="56" spans="1:45" x14ac:dyDescent="0.2">
      <c r="A56" s="28">
        <v>42979</v>
      </c>
      <c r="B56" s="6">
        <v>5.9</v>
      </c>
      <c r="C56" s="8">
        <v>22.794024499429934</v>
      </c>
      <c r="D56" s="8">
        <v>20.426681957430883</v>
      </c>
      <c r="E56" s="6">
        <v>18.771316722463588</v>
      </c>
      <c r="F56" s="6">
        <v>2.2000000000000002</v>
      </c>
      <c r="G56" s="4">
        <v>15.560913545072856</v>
      </c>
      <c r="H56" s="6">
        <v>57.645892154108417</v>
      </c>
      <c r="I56" s="6">
        <v>89.435281848071327</v>
      </c>
      <c r="J56" s="6">
        <v>29.7</v>
      </c>
      <c r="K56" s="6">
        <v>27.790640306285358</v>
      </c>
      <c r="L56" s="3">
        <v>21171.782050555714</v>
      </c>
      <c r="M56" s="3">
        <v>4930.9700872699987</v>
      </c>
      <c r="N56" s="3">
        <v>1624.561524</v>
      </c>
      <c r="O56" s="3">
        <v>10036.114808569999</v>
      </c>
      <c r="P56" s="3">
        <v>3935.72291546</v>
      </c>
      <c r="Q56" s="4">
        <v>13299.742407239</v>
      </c>
      <c r="R56" s="3">
        <v>7.4108092999999995</v>
      </c>
      <c r="S56" s="3">
        <v>0.95362093599125064</v>
      </c>
      <c r="T56" s="3">
        <v>12.537927756300229</v>
      </c>
      <c r="U56" s="4">
        <v>263.2362296</v>
      </c>
      <c r="V56" s="3">
        <v>0.999608154296875</v>
      </c>
      <c r="W56" s="3">
        <v>5575.0791000000008</v>
      </c>
      <c r="X56" s="3">
        <v>2.081846627469782</v>
      </c>
      <c r="Y56" s="3">
        <v>7209.9520000000002</v>
      </c>
      <c r="Z56" s="3">
        <v>3521.8420000000001</v>
      </c>
      <c r="AA56" s="3">
        <v>7</v>
      </c>
      <c r="AB56" s="3">
        <v>7.4108092999999995</v>
      </c>
      <c r="AC56" s="3">
        <v>55579.922932970003</v>
      </c>
      <c r="AD56" s="3">
        <v>84.47</v>
      </c>
      <c r="AE56" s="3">
        <v>0.18389597941168745</v>
      </c>
      <c r="AF56" s="3">
        <v>2.8816784494562251</v>
      </c>
      <c r="AG56" s="3">
        <v>-84.565667533804699</v>
      </c>
      <c r="AH56" s="3">
        <v>17131.383999999998</v>
      </c>
      <c r="AI56" s="3">
        <v>17.504427402048471</v>
      </c>
      <c r="AJ56" s="27">
        <v>6544.7327152600001</v>
      </c>
      <c r="AK56" s="27">
        <v>76.327072087246478</v>
      </c>
      <c r="AL56" s="27">
        <v>0.49519299999999999</v>
      </c>
      <c r="AM56" s="27">
        <v>0.55896999999999997</v>
      </c>
      <c r="AN56" s="27">
        <v>0.44212899999999999</v>
      </c>
      <c r="AO56" s="27">
        <v>192.5732812</v>
      </c>
      <c r="AP56" s="27">
        <v>145.26912200000001</v>
      </c>
      <c r="AQ56" s="27">
        <v>10.5</v>
      </c>
      <c r="AR56" s="27">
        <v>206.04306909392926</v>
      </c>
      <c r="AS56" s="27">
        <v>25.905000000000001</v>
      </c>
    </row>
    <row r="57" spans="1:45" x14ac:dyDescent="0.2">
      <c r="A57" s="28">
        <v>43070</v>
      </c>
      <c r="B57" s="3">
        <v>7.6</v>
      </c>
      <c r="C57" s="8">
        <v>23.192223416217033</v>
      </c>
      <c r="D57" s="8">
        <v>20.760271108467908</v>
      </c>
      <c r="E57" s="3">
        <v>23.057079721484762</v>
      </c>
      <c r="F57" s="3">
        <v>2.2000000000000002</v>
      </c>
      <c r="G57" s="4">
        <v>15.117716915587732</v>
      </c>
      <c r="H57" s="3">
        <v>57.56547062850548</v>
      </c>
      <c r="I57" s="3">
        <v>90.539583754518688</v>
      </c>
      <c r="J57" s="3">
        <v>28.5</v>
      </c>
      <c r="K57" s="3">
        <v>24.976555469372141</v>
      </c>
      <c r="L57" s="3">
        <v>21914.11432361</v>
      </c>
      <c r="M57" s="3">
        <v>5079.1930849700002</v>
      </c>
      <c r="N57" s="3">
        <v>1704.2931343399998</v>
      </c>
      <c r="O57" s="3">
        <v>10075.34600302</v>
      </c>
      <c r="P57" s="3">
        <v>4078.2142370599995</v>
      </c>
      <c r="Q57" s="4">
        <v>12850.447650709997</v>
      </c>
      <c r="R57" s="3">
        <v>6.6994635999999996</v>
      </c>
      <c r="S57" s="3">
        <v>1.1566573710611872</v>
      </c>
      <c r="T57" s="3">
        <v>18.510998673449887</v>
      </c>
      <c r="U57" s="4">
        <v>282.46102919999998</v>
      </c>
      <c r="V57" s="3">
        <v>0.99556838989257801</v>
      </c>
      <c r="W57" s="3">
        <v>5453.6208999999999</v>
      </c>
      <c r="X57" s="3">
        <v>1.8014534810366145</v>
      </c>
      <c r="Y57" s="3">
        <v>6958.8379999999997</v>
      </c>
      <c r="Z57" s="3">
        <v>3557.7089999999998</v>
      </c>
      <c r="AA57" s="3">
        <v>7</v>
      </c>
      <c r="AB57" s="3">
        <v>6.6994635999999996</v>
      </c>
      <c r="AC57" s="3">
        <v>59504.672636019997</v>
      </c>
      <c r="AD57" s="3">
        <v>85.32</v>
      </c>
      <c r="AE57" s="3">
        <v>0.39336109943263864</v>
      </c>
      <c r="AF57" s="3">
        <v>2.9759801534911396</v>
      </c>
      <c r="AG57" s="3">
        <v>-84.416208075424393</v>
      </c>
      <c r="AH57" s="3">
        <v>17343.039000000001</v>
      </c>
      <c r="AI57" s="3">
        <v>17.37870641248406</v>
      </c>
      <c r="AJ57" s="27">
        <v>6286.4714631199995</v>
      </c>
      <c r="AK57" s="27">
        <v>76.398651172319788</v>
      </c>
      <c r="AL57" s="27">
        <v>0.51505199999999995</v>
      </c>
      <c r="AM57" s="27">
        <v>0.67347199999999996</v>
      </c>
      <c r="AN57" s="27">
        <v>0.510876</v>
      </c>
      <c r="AO57" s="27">
        <v>255.83986221000001</v>
      </c>
      <c r="AP57" s="27">
        <v>189.60146900999999</v>
      </c>
      <c r="AQ57" s="27">
        <v>10.5</v>
      </c>
      <c r="AR57" s="27">
        <v>207.59754095656783</v>
      </c>
      <c r="AS57" s="27">
        <v>26.442499999999999</v>
      </c>
    </row>
    <row r="58" spans="1:45" x14ac:dyDescent="0.2">
      <c r="A58" s="28">
        <v>43160</v>
      </c>
      <c r="B58" s="6">
        <v>7.2</v>
      </c>
      <c r="C58" s="8">
        <v>24.441205540263574</v>
      </c>
      <c r="D58" s="8">
        <v>21.854603136266935</v>
      </c>
      <c r="E58" s="6">
        <v>21.792161897307803</v>
      </c>
      <c r="F58" s="6">
        <v>2.2999999999999998</v>
      </c>
      <c r="G58" s="4">
        <v>15.409681971282838</v>
      </c>
      <c r="H58" s="6">
        <v>55.551270350290302</v>
      </c>
      <c r="I58" s="6">
        <v>90.481382107792868</v>
      </c>
      <c r="J58" s="6">
        <v>30.2</v>
      </c>
      <c r="K58" s="6">
        <v>26.035122635458098</v>
      </c>
      <c r="L58" s="3">
        <v>21489.94365591</v>
      </c>
      <c r="M58" s="3">
        <v>5136.7722099402599</v>
      </c>
      <c r="N58" s="3">
        <v>1646.0453975100017</v>
      </c>
      <c r="O58" s="3">
        <v>9423.1337105026178</v>
      </c>
      <c r="P58" s="3">
        <v>4188.8065104671205</v>
      </c>
      <c r="Q58" s="4">
        <v>13174.960808739999</v>
      </c>
      <c r="R58" s="3">
        <v>6</v>
      </c>
      <c r="S58" s="3">
        <v>0.49348366884061079</v>
      </c>
      <c r="T58" s="3">
        <v>10.853114190061822</v>
      </c>
      <c r="U58" s="4">
        <v>299.84035189999997</v>
      </c>
      <c r="V58" s="3">
        <v>0.98273231506347702</v>
      </c>
      <c r="W58" s="3">
        <v>4845.3509999999997</v>
      </c>
      <c r="X58" s="3">
        <v>1.0708950516036235</v>
      </c>
      <c r="Y58" s="3">
        <v>6658.1149999999998</v>
      </c>
      <c r="Z58" s="3">
        <v>3594.3470000000002</v>
      </c>
      <c r="AA58" s="3">
        <v>7</v>
      </c>
      <c r="AB58" s="3">
        <v>6</v>
      </c>
      <c r="AC58" s="3">
        <v>55474.523471250002</v>
      </c>
      <c r="AD58" s="3">
        <v>91.62</v>
      </c>
      <c r="AE58" s="3">
        <v>0.41965915745014115</v>
      </c>
      <c r="AF58" s="3">
        <v>2.8958059744350311</v>
      </c>
      <c r="AG58" s="3">
        <v>-88.434514823388099</v>
      </c>
      <c r="AH58" s="3">
        <v>16476.337</v>
      </c>
      <c r="AI58" s="3">
        <v>14.078058463231766</v>
      </c>
      <c r="AJ58" s="27">
        <v>6627.3970726599991</v>
      </c>
      <c r="AK58" s="27">
        <v>76.704279228511297</v>
      </c>
      <c r="AL58" s="27">
        <v>0.53495300000000001</v>
      </c>
      <c r="AM58" s="27">
        <v>0.71207299999999996</v>
      </c>
      <c r="AN58" s="27">
        <v>0.51111799999999996</v>
      </c>
      <c r="AO58" s="27">
        <v>234.01101088999999</v>
      </c>
      <c r="AP58" s="27">
        <v>186.18711250999999</v>
      </c>
      <c r="AQ58" s="27">
        <v>10.5</v>
      </c>
      <c r="AR58" s="27">
        <v>211.47548527877962</v>
      </c>
      <c r="AS58" s="27">
        <v>26.98</v>
      </c>
    </row>
    <row r="59" spans="1:45" x14ac:dyDescent="0.2">
      <c r="A59" s="28">
        <v>43252</v>
      </c>
      <c r="B59" s="3">
        <v>7.7</v>
      </c>
      <c r="C59" s="8">
        <v>17.598275967560877</v>
      </c>
      <c r="D59" s="8">
        <v>15.447139134897364</v>
      </c>
      <c r="E59" s="3">
        <v>24.751614620794136</v>
      </c>
      <c r="F59" s="3">
        <v>2</v>
      </c>
      <c r="G59" s="4">
        <v>13.683932059855072</v>
      </c>
      <c r="H59" s="3">
        <v>58.819781935625315</v>
      </c>
      <c r="I59" s="3">
        <v>90.931235237254441</v>
      </c>
      <c r="J59" s="3">
        <v>30.3</v>
      </c>
      <c r="K59" s="3">
        <v>23.38679493122951</v>
      </c>
      <c r="L59" s="3">
        <v>21863.372051513255</v>
      </c>
      <c r="M59" s="3">
        <v>5282.9044690477849</v>
      </c>
      <c r="N59" s="3">
        <v>1660.9716302800011</v>
      </c>
      <c r="O59" s="3">
        <v>9795.7907910122121</v>
      </c>
      <c r="P59" s="3">
        <v>4239.6194587032433</v>
      </c>
      <c r="Q59" s="4">
        <v>13766.351661000001</v>
      </c>
      <c r="R59" s="3">
        <v>5.5297052000000004</v>
      </c>
      <c r="S59" s="3">
        <v>-2.1547026612903641</v>
      </c>
      <c r="T59" s="3">
        <v>13.164223034269117</v>
      </c>
      <c r="U59" s="4">
        <v>272.73928390000003</v>
      </c>
      <c r="V59" s="3">
        <v>0.97336929321289101</v>
      </c>
      <c r="W59" s="3">
        <v>5342.4660000000003</v>
      </c>
      <c r="X59" s="3">
        <v>2.081846627469782</v>
      </c>
      <c r="Y59" s="3">
        <v>6118.0249999999996</v>
      </c>
      <c r="Z59" s="3">
        <v>3628.212</v>
      </c>
      <c r="AA59" s="3">
        <v>7</v>
      </c>
      <c r="AB59" s="3">
        <v>5.5297052000000004</v>
      </c>
      <c r="AC59" s="3">
        <v>57610.982370559999</v>
      </c>
      <c r="AD59" s="3">
        <v>85.81</v>
      </c>
      <c r="AE59" s="3">
        <v>-0.20919103866259547</v>
      </c>
      <c r="AF59" s="3">
        <v>3.0688575303166457</v>
      </c>
      <c r="AG59" s="3">
        <v>-88.710859399974098</v>
      </c>
      <c r="AH59" s="3">
        <v>17019.942999999999</v>
      </c>
      <c r="AI59" s="3">
        <v>14.380538831336253</v>
      </c>
      <c r="AJ59" s="27">
        <v>7158.3540351900001</v>
      </c>
      <c r="AK59" s="27">
        <v>78.818711258660358</v>
      </c>
      <c r="AL59" s="27">
        <v>0.56160100000000002</v>
      </c>
      <c r="AM59" s="27">
        <v>0.75901600000000002</v>
      </c>
      <c r="AN59" s="27">
        <v>0.54411600000000004</v>
      </c>
      <c r="AO59" s="27">
        <v>234.89924954</v>
      </c>
      <c r="AP59" s="27">
        <v>180.76010299000001</v>
      </c>
      <c r="AQ59" s="27">
        <v>10.75</v>
      </c>
      <c r="AR59" s="27">
        <v>213.29534139005705</v>
      </c>
      <c r="AS59" s="27">
        <v>27.497499999999999</v>
      </c>
    </row>
    <row r="60" spans="1:45" x14ac:dyDescent="0.2">
      <c r="A60" s="28">
        <v>43344</v>
      </c>
      <c r="B60" s="6">
        <v>8.1300000000000008</v>
      </c>
      <c r="C60" s="4">
        <v>18.353764456146671</v>
      </c>
      <c r="D60" s="4">
        <v>15.621315083304497</v>
      </c>
      <c r="E60" s="6">
        <v>26.02</v>
      </c>
      <c r="F60" s="6">
        <v>2.1800000000000002</v>
      </c>
      <c r="G60" s="4">
        <v>15.058516621746435</v>
      </c>
      <c r="H60" s="6">
        <v>56.101815970511936</v>
      </c>
      <c r="I60" s="6">
        <v>95.906146017640381</v>
      </c>
      <c r="J60" s="6">
        <v>33.17</v>
      </c>
      <c r="K60" s="6">
        <v>21.52</v>
      </c>
      <c r="L60" s="3">
        <v>22845.811233399996</v>
      </c>
      <c r="M60" s="3">
        <v>5365.9942451867282</v>
      </c>
      <c r="N60" s="3">
        <v>1748.1252054200036</v>
      </c>
      <c r="O60" s="3">
        <v>10515.228534283267</v>
      </c>
      <c r="P60" s="3">
        <v>4238.8098006499995</v>
      </c>
      <c r="Q60" s="4">
        <v>13653.576389650001</v>
      </c>
      <c r="R60" s="3">
        <v>5.239195800000001</v>
      </c>
      <c r="S60" s="3">
        <v>1.6698261215008614</v>
      </c>
      <c r="T60" s="3">
        <v>-0.66937475817654291</v>
      </c>
      <c r="U60" s="4">
        <v>269.22284909999996</v>
      </c>
      <c r="V60" s="3">
        <v>0.96489067077636703</v>
      </c>
      <c r="W60" s="3">
        <v>5493.1088999999993</v>
      </c>
      <c r="X60" s="3">
        <v>1.8014534810366145</v>
      </c>
      <c r="Y60" s="3">
        <v>6493.16</v>
      </c>
      <c r="Z60" s="3">
        <v>3659.3020000000001</v>
      </c>
      <c r="AA60" s="3">
        <v>7</v>
      </c>
      <c r="AB60" s="3">
        <v>5.239195800000001</v>
      </c>
      <c r="AC60" s="3">
        <v>55708.470309229997</v>
      </c>
      <c r="AD60" s="3">
        <v>80.260000000000005</v>
      </c>
      <c r="AE60" s="3">
        <v>1.2827117482126766</v>
      </c>
      <c r="AF60" s="3">
        <v>3.0107411292781996</v>
      </c>
      <c r="AG60" s="3">
        <v>-83.779911781160493</v>
      </c>
      <c r="AH60" s="3">
        <v>17864.07</v>
      </c>
      <c r="AI60" s="3">
        <v>13.991529439791256</v>
      </c>
      <c r="AJ60" s="27">
        <v>7415.6688295900003</v>
      </c>
      <c r="AK60" s="27">
        <v>75.328563881866899</v>
      </c>
      <c r="AL60" s="27">
        <v>0.57693899999999998</v>
      </c>
      <c r="AM60" s="27">
        <v>0.79879699999999998</v>
      </c>
      <c r="AN60" s="27">
        <v>0.63893900000000003</v>
      </c>
      <c r="AO60" s="27">
        <v>244.33363618000001</v>
      </c>
      <c r="AP60" s="27">
        <v>209.17933400000001</v>
      </c>
      <c r="AQ60" s="27">
        <v>10.75</v>
      </c>
      <c r="AR60" s="27">
        <v>216.68549537476034</v>
      </c>
      <c r="AS60" s="27">
        <v>28.015000000000001</v>
      </c>
    </row>
    <row r="61" spans="1:45" x14ac:dyDescent="0.2">
      <c r="A61" s="28">
        <v>43435</v>
      </c>
      <c r="B61" s="3">
        <v>9.14</v>
      </c>
      <c r="C61" s="4">
        <v>18.75480347837404</v>
      </c>
      <c r="D61" s="4">
        <v>15.997548193420652</v>
      </c>
      <c r="E61" s="3">
        <v>29.15</v>
      </c>
      <c r="F61" s="3">
        <v>1.95</v>
      </c>
      <c r="G61" s="4">
        <v>13.388537998912975</v>
      </c>
      <c r="H61" s="3">
        <v>56.942930389009462</v>
      </c>
      <c r="I61" s="3">
        <v>97.903012164390361</v>
      </c>
      <c r="J61" s="3">
        <v>32.51</v>
      </c>
      <c r="K61" s="3">
        <v>19.12</v>
      </c>
      <c r="L61" s="3">
        <v>23018.629730429999</v>
      </c>
      <c r="M61" s="3">
        <v>5730.6948955600001</v>
      </c>
      <c r="N61" s="3">
        <v>1793.25235802</v>
      </c>
      <c r="O61" s="3">
        <v>10437.49012764</v>
      </c>
      <c r="P61" s="3">
        <v>4262.6511921399997</v>
      </c>
      <c r="Q61" s="4">
        <v>13436.535768929998</v>
      </c>
      <c r="R61" s="3">
        <v>5.0790885000000001</v>
      </c>
      <c r="S61" s="3">
        <v>4.6859910999595966</v>
      </c>
      <c r="T61" s="3">
        <v>-5.4769274874955611</v>
      </c>
      <c r="U61" s="4">
        <v>268.39999999999998</v>
      </c>
      <c r="V61" s="3">
        <v>0.9899034118652339</v>
      </c>
      <c r="W61" s="3">
        <v>6695.5280000000002</v>
      </c>
      <c r="X61" s="3">
        <v>1.7400767114991544</v>
      </c>
      <c r="Y61" s="3">
        <v>6347.6130000000003</v>
      </c>
      <c r="Z61" s="3">
        <v>3687.6179999999999</v>
      </c>
      <c r="AA61" s="3">
        <v>7</v>
      </c>
      <c r="AB61" s="3">
        <v>5.0790885000000001</v>
      </c>
      <c r="AC61" s="3">
        <v>52736.855850899999</v>
      </c>
      <c r="AD61" s="3">
        <v>85.53</v>
      </c>
      <c r="AE61" s="3">
        <v>0.35277656822132997</v>
      </c>
      <c r="AF61" s="3">
        <v>2.9020199470536894</v>
      </c>
      <c r="AG61" s="3">
        <v>-82.376924022843497</v>
      </c>
      <c r="AH61" s="3">
        <v>18047.643</v>
      </c>
      <c r="AI61" s="3">
        <v>13.531473748286119</v>
      </c>
      <c r="AJ61" s="27">
        <v>7074.3031308799982</v>
      </c>
      <c r="AK61" s="27">
        <v>76.365903415035007</v>
      </c>
      <c r="AL61" s="27">
        <v>0.60455999999999999</v>
      </c>
      <c r="AM61" s="27">
        <v>0.91970499999999999</v>
      </c>
      <c r="AN61" s="27">
        <v>0.65202099999999996</v>
      </c>
      <c r="AO61" s="27">
        <v>308.95319397000003</v>
      </c>
      <c r="AP61" s="27">
        <v>181.23865900000001</v>
      </c>
      <c r="AQ61" s="27">
        <v>10.75</v>
      </c>
      <c r="AR61" s="27">
        <v>219.43463162516602</v>
      </c>
      <c r="AS61" s="27">
        <v>28.532499999999999</v>
      </c>
    </row>
    <row r="62" spans="1:45" x14ac:dyDescent="0.2">
      <c r="A62" s="28">
        <v>43525</v>
      </c>
      <c r="B62" s="10">
        <v>8.6131278656164287</v>
      </c>
      <c r="C62" s="4">
        <v>18.750160346657626</v>
      </c>
      <c r="D62" s="4">
        <v>16.208674347809279</v>
      </c>
      <c r="E62" s="6">
        <v>25.493121587187812</v>
      </c>
      <c r="F62" s="10">
        <v>2.6500232156580252</v>
      </c>
      <c r="G62" s="4">
        <v>17.1099538863281</v>
      </c>
      <c r="H62" s="10">
        <v>57.788138268467399</v>
      </c>
      <c r="I62" s="6">
        <v>76.365903415035007</v>
      </c>
      <c r="J62" s="6">
        <v>34.384706182043168</v>
      </c>
      <c r="K62" s="11">
        <v>20.972905991883557</v>
      </c>
      <c r="L62" s="3">
        <v>20057.35159373</v>
      </c>
      <c r="M62" s="3">
        <v>5467.471666372935</v>
      </c>
      <c r="N62" s="3">
        <v>1851.7449222900034</v>
      </c>
      <c r="O62" s="3">
        <v>9519.7693501670583</v>
      </c>
      <c r="P62" s="3">
        <v>4417.0622148900002</v>
      </c>
      <c r="Q62" s="4">
        <v>13336.720272680001</v>
      </c>
      <c r="R62" s="3">
        <v>5.3</v>
      </c>
      <c r="S62" s="3">
        <v>-0.88804009254818128</v>
      </c>
      <c r="T62" s="3">
        <v>15.321518090493075</v>
      </c>
      <c r="U62" s="4">
        <v>98.067471400000002</v>
      </c>
      <c r="V62" s="7">
        <v>0.98611511230468807</v>
      </c>
      <c r="W62" s="3">
        <v>7057.9620000000004</v>
      </c>
      <c r="X62" s="3">
        <v>1.7233591561735091</v>
      </c>
      <c r="Y62" s="3">
        <v>5778.2249770123954</v>
      </c>
      <c r="Z62" s="3">
        <v>3713.16</v>
      </c>
      <c r="AA62" s="3">
        <v>6.75</v>
      </c>
      <c r="AB62" s="3">
        <v>4.5</v>
      </c>
      <c r="AC62" s="3">
        <v>58203.837818009997</v>
      </c>
      <c r="AD62" s="3">
        <v>83.97</v>
      </c>
      <c r="AE62" s="3">
        <v>-0.9059361803726631</v>
      </c>
      <c r="AF62" s="3">
        <v>2.9970906349085467</v>
      </c>
      <c r="AG62" s="3">
        <v>-87.036968164753134</v>
      </c>
      <c r="AH62" s="3">
        <v>16927.651000000002</v>
      </c>
      <c r="AI62" s="3">
        <v>14.736705567659177</v>
      </c>
      <c r="AJ62" s="27">
        <v>6839.3657069600022</v>
      </c>
      <c r="AK62" s="27">
        <v>72.893261237388515</v>
      </c>
      <c r="AL62" s="27">
        <v>0.397285</v>
      </c>
      <c r="AM62" s="27">
        <v>0.98289800000000005</v>
      </c>
      <c r="AN62" s="27">
        <v>0.673709</v>
      </c>
      <c r="AO62" s="27">
        <v>283.73129918000001</v>
      </c>
      <c r="AP62" s="27">
        <v>224.37652299999999</v>
      </c>
      <c r="AQ62" s="27">
        <v>10.25</v>
      </c>
      <c r="AR62" s="27">
        <v>219.00311319219327</v>
      </c>
      <c r="AS62" s="27">
        <v>29.05</v>
      </c>
    </row>
    <row r="63" spans="1:45" x14ac:dyDescent="0.2">
      <c r="A63" s="28">
        <v>43617</v>
      </c>
      <c r="B63" s="4">
        <v>9.1978013811529848</v>
      </c>
      <c r="C63" s="4">
        <v>18.670831112507923</v>
      </c>
      <c r="D63" s="4">
        <v>16.121134499363926</v>
      </c>
      <c r="E63" s="3">
        <v>25.26361991462305</v>
      </c>
      <c r="F63" s="4">
        <v>2.5760492622279498</v>
      </c>
      <c r="G63" s="4">
        <v>16.46873087572552</v>
      </c>
      <c r="H63" s="4">
        <v>57.640904831562601</v>
      </c>
      <c r="I63" s="3">
        <v>72.893261237388515</v>
      </c>
      <c r="J63" s="3">
        <v>32.778888266337944</v>
      </c>
      <c r="K63" s="12">
        <v>22.133349453377136</v>
      </c>
      <c r="L63" s="3">
        <v>20343.866673060002</v>
      </c>
      <c r="M63" s="3">
        <v>5745.0909353298539</v>
      </c>
      <c r="N63" s="3">
        <v>1917.3525948100053</v>
      </c>
      <c r="O63" s="3">
        <v>9692.1080660201424</v>
      </c>
      <c r="P63" s="3">
        <v>4541.9824988099999</v>
      </c>
      <c r="Q63" s="4">
        <v>13748.366051750001</v>
      </c>
      <c r="R63" s="3">
        <v>1.7</v>
      </c>
      <c r="S63" s="3">
        <v>-0.27459716405826562</v>
      </c>
      <c r="T63" s="3">
        <v>-7.0478011864494512</v>
      </c>
      <c r="U63" s="4">
        <v>102.6233441</v>
      </c>
      <c r="V63" s="7">
        <v>0.99189331054687502</v>
      </c>
      <c r="W63" s="3">
        <v>7605.6639999999998</v>
      </c>
      <c r="X63" s="3">
        <v>2.9081531201897595</v>
      </c>
      <c r="Y63" s="3">
        <v>5167.7675289044473</v>
      </c>
      <c r="Z63" s="3">
        <v>3732.3159999999998</v>
      </c>
      <c r="AA63" s="3">
        <v>6.75</v>
      </c>
      <c r="AB63" s="3">
        <v>4.5</v>
      </c>
      <c r="AC63" s="3">
        <v>56462.549060899997</v>
      </c>
      <c r="AD63" s="3">
        <v>85.22</v>
      </c>
      <c r="AE63" s="3">
        <v>0.40828392851956608</v>
      </c>
      <c r="AF63" s="3">
        <v>3.0322678891727874</v>
      </c>
      <c r="AG63" s="3">
        <v>-85.91289358494835</v>
      </c>
      <c r="AH63" s="3">
        <v>17382.5820147415</v>
      </c>
      <c r="AI63" s="3">
        <v>14.659147048618673</v>
      </c>
      <c r="AJ63" s="27">
        <v>6843.0718223800004</v>
      </c>
      <c r="AK63" s="27">
        <v>72.835954697657002</v>
      </c>
      <c r="AL63" s="27">
        <v>0.41605399999999998</v>
      </c>
      <c r="AM63" s="27">
        <v>1.0024649999999999</v>
      </c>
      <c r="AN63" s="27">
        <v>0.67297099999999999</v>
      </c>
      <c r="AO63" s="27">
        <v>283.45739787000002</v>
      </c>
      <c r="AP63" s="27">
        <v>246.16702900000001</v>
      </c>
      <c r="AQ63" s="27">
        <v>10.25</v>
      </c>
      <c r="AR63" s="27">
        <v>220.83596195949386</v>
      </c>
      <c r="AS63" s="27">
        <v>30.344999999999999</v>
      </c>
    </row>
    <row r="64" spans="1:45" x14ac:dyDescent="0.2">
      <c r="A64" s="28">
        <v>43709</v>
      </c>
      <c r="B64" s="11">
        <v>8.9499999999999993</v>
      </c>
      <c r="C64" s="4">
        <v>17.77998944718577</v>
      </c>
      <c r="D64" s="4">
        <v>15.335746729156597</v>
      </c>
      <c r="E64" s="6">
        <v>23.62</v>
      </c>
      <c r="F64" s="11">
        <v>2.65</v>
      </c>
      <c r="G64" s="4">
        <v>17.225852962517095</v>
      </c>
      <c r="H64" s="10">
        <v>57.474572236654389</v>
      </c>
      <c r="I64" s="6">
        <v>72.02305594968027</v>
      </c>
      <c r="J64" s="6">
        <v>33.67</v>
      </c>
      <c r="K64" s="11">
        <v>33.21</v>
      </c>
      <c r="L64" s="3">
        <v>20311.545689233331</v>
      </c>
      <c r="M64" s="3">
        <v>5797.4406555253845</v>
      </c>
      <c r="N64" s="3">
        <v>2029.4501593900056</v>
      </c>
      <c r="O64" s="3">
        <v>9232.4881776946077</v>
      </c>
      <c r="P64" s="3">
        <v>4567.8502372400008</v>
      </c>
      <c r="Q64" s="4">
        <v>14023.11875645</v>
      </c>
      <c r="R64" s="3">
        <v>1.9</v>
      </c>
      <c r="S64" s="3">
        <v>8.417653600960584E-2</v>
      </c>
      <c r="T64" s="3">
        <v>3.908452266007262</v>
      </c>
      <c r="U64" s="4">
        <v>104.3823881</v>
      </c>
      <c r="V64" s="7">
        <v>0.98296119689941408</v>
      </c>
      <c r="W64" s="3">
        <v>8377.7199999999993</v>
      </c>
      <c r="X64" s="3">
        <v>2.0911844861086579</v>
      </c>
      <c r="Y64" s="3">
        <v>5358.9854225257995</v>
      </c>
      <c r="Z64" s="3">
        <v>3745.087</v>
      </c>
      <c r="AA64" s="3">
        <v>6.5</v>
      </c>
      <c r="AB64" s="3">
        <v>4.0999999999999996</v>
      </c>
      <c r="AC64" s="3">
        <v>54824.965125330004</v>
      </c>
      <c r="AD64" s="3">
        <v>85.26</v>
      </c>
      <c r="AE64" s="3">
        <v>0.13850584054850401</v>
      </c>
      <c r="AF64" s="3">
        <v>3.0866590675101779</v>
      </c>
      <c r="AG64" s="3">
        <v>-89.373210717817599</v>
      </c>
      <c r="AH64" s="3">
        <v>17183.721323266</v>
      </c>
      <c r="AI64" s="3">
        <v>14.922094885200805</v>
      </c>
      <c r="AJ64" s="27">
        <v>6998.3939468312001</v>
      </c>
      <c r="AK64" s="27">
        <v>72.02305594968027</v>
      </c>
      <c r="AL64" s="27">
        <v>0.43523200000000001</v>
      </c>
      <c r="AM64" s="27">
        <v>1.0675790000000001</v>
      </c>
      <c r="AN64" s="27">
        <v>0.73621499999999995</v>
      </c>
      <c r="AO64" s="27">
        <v>300.75186221000001</v>
      </c>
      <c r="AP64" s="27">
        <v>264.37890985000001</v>
      </c>
      <c r="AQ64" s="27">
        <v>10</v>
      </c>
      <c r="AR64" s="27">
        <v>222.01373295576934</v>
      </c>
      <c r="AS64" s="27">
        <v>31.64</v>
      </c>
    </row>
    <row r="65" spans="1:45" x14ac:dyDescent="0.2">
      <c r="A65" s="28">
        <v>43800</v>
      </c>
      <c r="B65" s="12">
        <v>9.2799999999999994</v>
      </c>
      <c r="C65" s="4">
        <v>18.154826364304274</v>
      </c>
      <c r="D65" s="4">
        <v>15.95083488368854</v>
      </c>
      <c r="E65" s="3">
        <v>23.03</v>
      </c>
      <c r="F65" s="12">
        <v>2.58</v>
      </c>
      <c r="G65" s="4">
        <v>16.892619140197894</v>
      </c>
      <c r="H65" s="4">
        <v>54.459736234196384</v>
      </c>
      <c r="I65" s="4">
        <v>71.99780520900066</v>
      </c>
      <c r="J65" s="4">
        <v>37.6</v>
      </c>
      <c r="K65" s="12">
        <v>35.18</v>
      </c>
      <c r="L65" s="3">
        <v>21230.957002130002</v>
      </c>
      <c r="M65" s="3">
        <v>6389.4489780636486</v>
      </c>
      <c r="N65" s="3">
        <v>1888.293453170003</v>
      </c>
      <c r="O65" s="3">
        <v>10021.15560300835</v>
      </c>
      <c r="P65" s="3">
        <v>4720.2592786900004</v>
      </c>
      <c r="Q65" s="4">
        <v>14044.263022550002</v>
      </c>
      <c r="R65" s="3">
        <v>2.0026522599087899</v>
      </c>
      <c r="S65" s="3">
        <v>7.4695816514536162E-2</v>
      </c>
      <c r="T65" s="3">
        <v>11.075654006223658</v>
      </c>
      <c r="U65" s="4">
        <v>101.2386515</v>
      </c>
      <c r="V65" s="7">
        <v>0.99193603515624995</v>
      </c>
      <c r="W65" s="3">
        <v>7846.4669000000004</v>
      </c>
      <c r="X65" s="3">
        <v>2.4840520830704786</v>
      </c>
      <c r="Y65" s="3">
        <v>6170.1036228788735</v>
      </c>
      <c r="Z65" s="3">
        <v>3751.473</v>
      </c>
      <c r="AA65" s="3">
        <v>6.5</v>
      </c>
      <c r="AB65" s="3">
        <v>4</v>
      </c>
      <c r="AC65" s="3">
        <v>57084.103132709999</v>
      </c>
      <c r="AD65" s="3">
        <v>84.19</v>
      </c>
      <c r="AE65" s="3">
        <v>-3.4571227065683274E-2</v>
      </c>
      <c r="AF65" s="3">
        <v>3.1453267500638962</v>
      </c>
      <c r="AG65" s="3">
        <v>-90.907402962017301</v>
      </c>
      <c r="AH65" s="3">
        <v>18368.609839594999</v>
      </c>
      <c r="AI65" s="3">
        <v>14.4181361343328</v>
      </c>
      <c r="AJ65" s="27">
        <v>6908.9050514069013</v>
      </c>
      <c r="AK65" s="27">
        <v>71.99780520900066</v>
      </c>
      <c r="AL65" s="27">
        <v>0.56909500000000002</v>
      </c>
      <c r="AM65" s="27">
        <v>1.1580550000000001</v>
      </c>
      <c r="AN65" s="27">
        <v>0.79786400000000002</v>
      </c>
      <c r="AO65" s="27">
        <v>369.90344686000003</v>
      </c>
      <c r="AP65" s="27">
        <v>267.90898028999999</v>
      </c>
      <c r="AQ65" s="27">
        <v>10</v>
      </c>
      <c r="AR65" s="27">
        <v>221.46696142333113</v>
      </c>
      <c r="AS65" s="27">
        <v>32.935000000000002</v>
      </c>
    </row>
    <row r="66" spans="1:45" x14ac:dyDescent="0.2">
      <c r="A66" s="28">
        <v>43891</v>
      </c>
      <c r="B66" s="11">
        <v>8.8974850486424799</v>
      </c>
      <c r="C66" s="4">
        <v>18.183312471907637</v>
      </c>
      <c r="D66" s="4">
        <v>15.785420312869192</v>
      </c>
      <c r="E66" s="6">
        <v>19.040101180683099</v>
      </c>
      <c r="F66" s="11">
        <v>2.1623892363143296</v>
      </c>
      <c r="G66" s="4">
        <v>13.254105725011739</v>
      </c>
      <c r="H66" s="10">
        <v>53.460484190797075</v>
      </c>
      <c r="I66" s="10">
        <v>78.712316389341169</v>
      </c>
      <c r="J66" s="10">
        <v>36.637687739999393</v>
      </c>
      <c r="K66" s="11">
        <v>40.122801871016364</v>
      </c>
      <c r="L66" s="3">
        <v>20154.122793490002</v>
      </c>
      <c r="M66" s="3">
        <v>5933.5919964467766</v>
      </c>
      <c r="N66" s="3">
        <v>1928.091847660005</v>
      </c>
      <c r="O66" s="3">
        <v>9353.9256693524731</v>
      </c>
      <c r="P66" s="3">
        <v>4759.61120785</v>
      </c>
      <c r="Q66" s="4">
        <v>13400.820553040001</v>
      </c>
      <c r="R66" s="3">
        <v>3</v>
      </c>
      <c r="S66" s="3">
        <v>-1.9173257427401613</v>
      </c>
      <c r="T66" s="3">
        <v>8.4599878176560015</v>
      </c>
      <c r="U66" s="4">
        <v>104.96385840000001</v>
      </c>
      <c r="V66" s="3">
        <v>1.0170679473877</v>
      </c>
      <c r="W66" s="3">
        <v>9333.8148000000001</v>
      </c>
      <c r="X66" s="3">
        <v>2.5086603245098291</v>
      </c>
      <c r="Y66" s="3">
        <v>6605.3280000000004</v>
      </c>
      <c r="Z66" s="3">
        <f>AVERAGE(Z65,Z67)</f>
        <v>3769.019331</v>
      </c>
      <c r="AA66" s="3">
        <v>5.25</v>
      </c>
      <c r="AB66" s="3">
        <v>4.0999999999999996</v>
      </c>
      <c r="AC66" s="3">
        <v>44490.31171396</v>
      </c>
      <c r="AD66" s="3">
        <v>85.46</v>
      </c>
      <c r="AE66" s="3">
        <v>6.9567850140117571E-4</v>
      </c>
      <c r="AF66" s="3">
        <v>2.9269053965134226</v>
      </c>
      <c r="AG66" s="3">
        <v>-79.018711230723497</v>
      </c>
      <c r="AH66" s="3">
        <v>17012.526961097799</v>
      </c>
      <c r="AI66" s="3">
        <v>15.345266546289398</v>
      </c>
      <c r="AJ66" s="25">
        <v>6266.8417759499998</v>
      </c>
      <c r="AK66" s="25">
        <v>78.712316389341169</v>
      </c>
      <c r="AL66" s="25">
        <v>0.47704000000000002</v>
      </c>
      <c r="AM66" s="25">
        <v>1.171011</v>
      </c>
      <c r="AN66" s="25">
        <v>0.82855599999999996</v>
      </c>
      <c r="AO66" s="25">
        <v>348.92998738</v>
      </c>
      <c r="AP66" s="25">
        <v>269.37222000000003</v>
      </c>
      <c r="AQ66" s="25">
        <v>8.75</v>
      </c>
      <c r="AR66" s="25">
        <v>222.58379176749767</v>
      </c>
      <c r="AS66" s="25">
        <v>34.229999999999997</v>
      </c>
    </row>
    <row r="67" spans="1:45" x14ac:dyDescent="0.2">
      <c r="A67" s="28">
        <v>43983</v>
      </c>
      <c r="B67" s="12">
        <v>9.25</v>
      </c>
      <c r="C67" s="4">
        <v>16.967945250397975</v>
      </c>
      <c r="D67" s="4">
        <v>14.564113137121169</v>
      </c>
      <c r="E67" s="3">
        <v>19.399999999999999</v>
      </c>
      <c r="F67" s="12">
        <v>1.53</v>
      </c>
      <c r="G67" s="4">
        <v>10.258481860811075</v>
      </c>
      <c r="H67" s="4">
        <v>53.145879742720581</v>
      </c>
      <c r="I67" s="4">
        <v>82.76</v>
      </c>
      <c r="J67" s="4">
        <v>38.340000000000003</v>
      </c>
      <c r="K67" s="12">
        <v>42.07</v>
      </c>
      <c r="L67" s="3">
        <v>21906.700053740002</v>
      </c>
      <c r="M67" s="3">
        <v>6080.3314594625899</v>
      </c>
      <c r="N67" s="3">
        <v>2058.3010375800022</v>
      </c>
      <c r="O67" s="3">
        <v>11031.520822209895</v>
      </c>
      <c r="P67" s="3">
        <v>4783.9701543700003</v>
      </c>
      <c r="Q67" s="4">
        <v>13620.04443795</v>
      </c>
      <c r="R67" s="3">
        <v>3.8</v>
      </c>
      <c r="S67" s="3">
        <v>-8.264846901589296</v>
      </c>
      <c r="T67" s="3">
        <v>23.074761737036471</v>
      </c>
      <c r="U67" s="4">
        <v>106.43703580000002</v>
      </c>
      <c r="V67" s="3">
        <v>1.01116371154785</v>
      </c>
      <c r="W67" s="3">
        <v>9387.795900000001</v>
      </c>
      <c r="X67" s="3">
        <v>3.2887456155845465</v>
      </c>
      <c r="Y67" s="3">
        <v>6830.0711940685997</v>
      </c>
      <c r="Z67" s="3">
        <v>3786.565662</v>
      </c>
      <c r="AA67" s="3">
        <v>3.75</v>
      </c>
      <c r="AB67" s="3">
        <v>2.2000000000000002</v>
      </c>
      <c r="AC67" s="3">
        <v>54362.36280943</v>
      </c>
      <c r="AD67" s="3">
        <v>92.97</v>
      </c>
      <c r="AE67" s="3">
        <v>-17.094183375239808</v>
      </c>
      <c r="AF67" s="3">
        <v>3.4916143151047265</v>
      </c>
      <c r="AG67" s="3">
        <v>-76.685724440661005</v>
      </c>
      <c r="AH67" s="3">
        <v>18250.939079425902</v>
      </c>
      <c r="AI67" s="3">
        <v>15.808702144967029</v>
      </c>
      <c r="AJ67" s="27">
        <v>6391.5156712599992</v>
      </c>
      <c r="AK67" s="27">
        <v>82.76</v>
      </c>
      <c r="AL67" s="27">
        <v>0.48453600000000002</v>
      </c>
      <c r="AM67" s="27">
        <v>1.1214090000000001</v>
      </c>
      <c r="AN67" s="27">
        <v>0.82387600000000005</v>
      </c>
      <c r="AO67" s="27">
        <v>347.16093892999999</v>
      </c>
      <c r="AP67" s="27">
        <v>324.033591</v>
      </c>
      <c r="AQ67" s="27">
        <v>7.25</v>
      </c>
      <c r="AR67" s="27">
        <v>215.74250654324388</v>
      </c>
      <c r="AS67" s="27">
        <v>34.6</v>
      </c>
    </row>
    <row r="68" spans="1:45" x14ac:dyDescent="0.2">
      <c r="A68" s="28">
        <v>44075</v>
      </c>
      <c r="B68" s="11">
        <v>6.2961292830590896</v>
      </c>
      <c r="C68" s="4">
        <v>17.908469785854297</v>
      </c>
      <c r="D68" s="4">
        <v>15.357968654955704</v>
      </c>
      <c r="E68" s="6">
        <v>7.7192302132628701</v>
      </c>
      <c r="F68" s="11">
        <v>1.1689348270056161</v>
      </c>
      <c r="G68" s="4">
        <v>8.16096128303362</v>
      </c>
      <c r="H68" s="10">
        <v>52.197192355379897</v>
      </c>
      <c r="I68" s="10">
        <v>84.798391910204614</v>
      </c>
      <c r="J68" s="10">
        <v>36.082103252223845</v>
      </c>
      <c r="K68" s="11">
        <v>67.711696971312435</v>
      </c>
      <c r="L68" s="3">
        <v>22381.624349139998</v>
      </c>
      <c r="M68" s="3">
        <v>6257.1978831439637</v>
      </c>
      <c r="N68" s="3">
        <v>2127.277980100002</v>
      </c>
      <c r="O68" s="3">
        <v>11557.951943829275</v>
      </c>
      <c r="P68" s="3">
        <v>4829.4831900794998</v>
      </c>
      <c r="Q68" s="4">
        <v>13910.929647430003</v>
      </c>
      <c r="R68" s="3">
        <v>4.0999999999999996</v>
      </c>
      <c r="S68" s="3">
        <v>13.011712265560526</v>
      </c>
      <c r="T68" s="3">
        <v>14.508806698802349</v>
      </c>
      <c r="U68" s="4">
        <v>111.4978196</v>
      </c>
      <c r="V68" s="3">
        <v>1.0106874084472701</v>
      </c>
      <c r="W68" s="3">
        <v>11117.350699999999</v>
      </c>
      <c r="X68" s="3">
        <v>2.4792821601356287</v>
      </c>
      <c r="Y68" s="3">
        <v>9348.1901504324742</v>
      </c>
      <c r="Z68" s="3">
        <v>3908.1713490000002</v>
      </c>
      <c r="AA68" s="3">
        <v>3.5</v>
      </c>
      <c r="AB68" s="3">
        <v>3</v>
      </c>
      <c r="AC68" s="3">
        <v>54264.957019579997</v>
      </c>
      <c r="AD68" s="3">
        <v>94.78</v>
      </c>
      <c r="AE68" s="3">
        <v>13.76496734629815</v>
      </c>
      <c r="AF68" s="3">
        <v>3.2797516419367878</v>
      </c>
      <c r="AG68" s="3">
        <v>-95.541363634084107</v>
      </c>
      <c r="AH68" s="3">
        <v>18982.7449765438</v>
      </c>
      <c r="AI68" s="3">
        <v>14.8383869311056</v>
      </c>
      <c r="AJ68" s="27">
        <v>6550.6915264799973</v>
      </c>
      <c r="AK68" s="27">
        <v>84.8</v>
      </c>
      <c r="AL68" s="27">
        <v>0.48700199999999999</v>
      </c>
      <c r="AM68" s="27">
        <v>1.247565</v>
      </c>
      <c r="AN68" s="27">
        <v>0.90168400000000004</v>
      </c>
      <c r="AO68" s="27">
        <v>391.13447826999999</v>
      </c>
      <c r="AP68" s="27">
        <v>399.71907900000002</v>
      </c>
      <c r="AQ68" s="27">
        <v>7</v>
      </c>
      <c r="AR68" s="27">
        <v>222.13980556510307</v>
      </c>
      <c r="AS68" s="27">
        <v>34.97</v>
      </c>
    </row>
    <row r="69" spans="1:45" x14ac:dyDescent="0.2">
      <c r="A69" s="28">
        <v>44166</v>
      </c>
      <c r="B69" s="12">
        <v>5.3922028144801404</v>
      </c>
      <c r="C69" s="4">
        <v>16.461187584741612</v>
      </c>
      <c r="D69" s="4">
        <v>14.158186200854455</v>
      </c>
      <c r="E69" s="3">
        <v>4.9933622048503699</v>
      </c>
      <c r="F69" s="12">
        <v>1.363642282196091</v>
      </c>
      <c r="G69" s="4">
        <v>10.415278713044339</v>
      </c>
      <c r="H69" s="4">
        <v>51.564298997311155</v>
      </c>
      <c r="I69" s="4">
        <v>81.049407170923701</v>
      </c>
      <c r="J69" s="4">
        <v>40.139596044143268</v>
      </c>
      <c r="K69" s="12">
        <v>76.362319059139509</v>
      </c>
      <c r="L69" s="3">
        <v>29117.95499124</v>
      </c>
      <c r="M69" s="3">
        <v>6914.7523544617898</v>
      </c>
      <c r="N69" s="3">
        <v>2138.9456716200029</v>
      </c>
      <c r="O69" s="3">
        <v>13719.494765072373</v>
      </c>
      <c r="P69" s="3">
        <v>4931.6538406400005</v>
      </c>
      <c r="Q69" s="4">
        <v>14607.124134999998</v>
      </c>
      <c r="R69" s="3">
        <v>4.5999999999999996</v>
      </c>
      <c r="S69" s="3">
        <v>2.3335916336503448</v>
      </c>
      <c r="T69" s="3">
        <v>-1.7908755203427555</v>
      </c>
      <c r="U69" s="4">
        <v>106.53745409999999</v>
      </c>
      <c r="V69" s="3">
        <v>1.01406135559082</v>
      </c>
      <c r="W69" s="3">
        <v>9771.2245000000003</v>
      </c>
      <c r="X69" s="3">
        <v>1.8539592838141445</v>
      </c>
      <c r="Y69" s="3">
        <v>8002.2768248644988</v>
      </c>
      <c r="Z69" s="3">
        <v>4033.2328321680002</v>
      </c>
      <c r="AA69" s="3">
        <v>3.5</v>
      </c>
      <c r="AB69" s="3">
        <v>3.1</v>
      </c>
      <c r="AC69" s="3">
        <v>59408.676655349998</v>
      </c>
      <c r="AD69" s="3">
        <v>105.78</v>
      </c>
      <c r="AE69" s="3">
        <v>2.6969503978032634</v>
      </c>
      <c r="AF69" s="3">
        <v>3.2987905765513155</v>
      </c>
      <c r="AG69" s="3">
        <v>-101.26264456020901</v>
      </c>
      <c r="AH69" s="3">
        <v>21205.786136667801</v>
      </c>
      <c r="AI69" s="3">
        <v>14.649309801741708</v>
      </c>
      <c r="AJ69" s="25">
        <v>6797.3651157399881</v>
      </c>
      <c r="AK69" s="25">
        <v>81.05</v>
      </c>
      <c r="AL69" s="25">
        <v>0.56884599999999996</v>
      </c>
      <c r="AM69" s="25">
        <v>1.4208810000000001</v>
      </c>
      <c r="AN69" s="25">
        <v>1.0977030000000001</v>
      </c>
      <c r="AO69" s="25">
        <v>504.95221407000014</v>
      </c>
      <c r="AP69" s="25">
        <v>496.32859200000001</v>
      </c>
      <c r="AQ69" s="25">
        <v>7</v>
      </c>
      <c r="AR69" s="25">
        <v>226.59166411704632</v>
      </c>
      <c r="AS69" s="25">
        <v>35.340000000000003</v>
      </c>
    </row>
    <row r="70" spans="1:45" x14ac:dyDescent="0.2">
      <c r="A70" s="28">
        <v>44256</v>
      </c>
      <c r="B70" s="6">
        <v>5.5564345644805302</v>
      </c>
      <c r="C70" s="4">
        <v>16.918584053209575</v>
      </c>
      <c r="D70" s="4">
        <v>14.63516625104441</v>
      </c>
      <c r="E70" s="6">
        <v>4.2304504284097604</v>
      </c>
      <c r="F70" s="6">
        <v>1.8049426157038835</v>
      </c>
      <c r="G70" s="4">
        <v>13.590926559502995</v>
      </c>
      <c r="H70" s="10">
        <v>51.827684021079421</v>
      </c>
      <c r="I70" s="10">
        <v>76.315196622625663</v>
      </c>
      <c r="J70" s="10">
        <v>43.124972904033001</v>
      </c>
      <c r="K70" s="11">
        <v>79.406294779312674</v>
      </c>
      <c r="L70" s="3">
        <v>29170.257423420971</v>
      </c>
      <c r="M70" s="3">
        <v>7130.3363920773354</v>
      </c>
      <c r="N70" s="3">
        <v>1990.3681038700104</v>
      </c>
      <c r="O70" s="3">
        <v>13433.973364197818</v>
      </c>
      <c r="P70" s="3">
        <v>5012.9137102209725</v>
      </c>
      <c r="Q70" s="4">
        <v>14091.026235550002</v>
      </c>
      <c r="R70" s="3">
        <v>4.2</v>
      </c>
      <c r="S70" s="3">
        <v>2.7608521747779946</v>
      </c>
      <c r="T70" s="3">
        <v>-5.5388436908775205</v>
      </c>
      <c r="U70" s="4">
        <v>108.59296540000001</v>
      </c>
      <c r="V70" s="3">
        <v>1.0066725921630901</v>
      </c>
      <c r="W70" s="3">
        <v>10367.181200000001</v>
      </c>
      <c r="X70" s="3">
        <v>2.3008338961558099</v>
      </c>
      <c r="Y70" s="3">
        <v>9224.5977103014375</v>
      </c>
      <c r="Z70" s="3">
        <v>4300.6653724999996</v>
      </c>
      <c r="AA70" s="3">
        <v>3.5</v>
      </c>
      <c r="AB70" s="3">
        <v>3.2</v>
      </c>
      <c r="AC70" s="3">
        <v>66485.292416969998</v>
      </c>
      <c r="AD70" s="3">
        <v>105.1</v>
      </c>
      <c r="AE70" s="3">
        <v>0.82292431063895322</v>
      </c>
      <c r="AF70" s="3">
        <v>3.3879117946859765</v>
      </c>
      <c r="AG70" s="3">
        <v>-106.919158940936</v>
      </c>
      <c r="AH70" s="3">
        <v>21116.952739340199</v>
      </c>
      <c r="AI70" s="3">
        <v>14.170684765391206</v>
      </c>
      <c r="AJ70" s="27">
        <v>6238.8529719599974</v>
      </c>
      <c r="AK70" s="27">
        <v>76.315196622625663</v>
      </c>
      <c r="AL70" s="27">
        <v>0.56193000000000004</v>
      </c>
      <c r="AM70" s="27">
        <v>1.4875959999999999</v>
      </c>
      <c r="AN70" s="27">
        <v>1.102657</v>
      </c>
      <c r="AO70" s="27">
        <v>475.20468649000014</v>
      </c>
      <c r="AP70" s="27">
        <v>474.14361700000001</v>
      </c>
      <c r="AQ70" s="27">
        <v>7</v>
      </c>
      <c r="AR70" s="27">
        <v>226.48224257820198</v>
      </c>
      <c r="AS70" s="27">
        <v>35.71</v>
      </c>
    </row>
    <row r="71" spans="1:45" x14ac:dyDescent="0.2">
      <c r="A71" s="28">
        <v>44348</v>
      </c>
      <c r="B71" s="3">
        <v>5.6057041582856302</v>
      </c>
      <c r="C71" s="4">
        <v>16.019862900216069</v>
      </c>
      <c r="D71" s="4">
        <v>13.838505400436208</v>
      </c>
      <c r="E71" s="3">
        <v>8.4145765771749499</v>
      </c>
      <c r="F71" s="3">
        <v>1.5539714134663951</v>
      </c>
      <c r="G71" s="4">
        <v>12.522286646792621</v>
      </c>
      <c r="H71" s="4">
        <v>51.3688846170635</v>
      </c>
      <c r="I71" s="4">
        <v>81.718487976361203</v>
      </c>
      <c r="J71" s="4">
        <v>39.018300874029705</v>
      </c>
      <c r="K71" s="3">
        <v>62.028319069462668</v>
      </c>
      <c r="L71" s="3">
        <v>31047.905695439986</v>
      </c>
      <c r="M71" s="3">
        <v>8105.3012001860079</v>
      </c>
      <c r="N71" s="3">
        <v>1919.2200660900082</v>
      </c>
      <c r="O71" s="3">
        <v>13813.871469998579</v>
      </c>
      <c r="P71" s="3">
        <v>5020.4229081900021</v>
      </c>
      <c r="Q71" s="4">
        <v>15120.113322009984</v>
      </c>
      <c r="R71" s="3">
        <v>3.8713779108109998</v>
      </c>
      <c r="S71" s="3">
        <v>1.9761802125840999</v>
      </c>
      <c r="T71" s="3">
        <v>4.5494331396175278</v>
      </c>
      <c r="U71" s="4">
        <v>114.86563419999999</v>
      </c>
      <c r="V71" s="3">
        <v>1.00920951843262</v>
      </c>
      <c r="W71" s="3">
        <v>10334.7225</v>
      </c>
      <c r="X71" s="3">
        <v>2.7534134608757999</v>
      </c>
      <c r="Y71" s="3">
        <v>8327.0235824934589</v>
      </c>
      <c r="Z71" s="3">
        <v>4300.6653724999996</v>
      </c>
      <c r="AA71" s="3">
        <v>3.5</v>
      </c>
      <c r="AB71" s="3">
        <v>4.9000000000000004</v>
      </c>
      <c r="AC71" s="3">
        <v>66248.736424889998</v>
      </c>
      <c r="AD71" s="3">
        <v>110.73</v>
      </c>
      <c r="AE71" s="3">
        <v>1.3879124843211912</v>
      </c>
      <c r="AF71" s="3">
        <v>3.3956785770403788</v>
      </c>
      <c r="AG71" s="3">
        <v>-117.117251355177</v>
      </c>
      <c r="AH71" s="3">
        <v>21886.608294580801</v>
      </c>
      <c r="AI71" s="3">
        <v>14.086753652227449</v>
      </c>
      <c r="AJ71" s="27">
        <v>7139.3516511999997</v>
      </c>
      <c r="AK71" s="27">
        <v>78.78</v>
      </c>
      <c r="AL71" s="27">
        <v>0.56908199999999998</v>
      </c>
      <c r="AM71" s="27">
        <v>1.5306379999999999</v>
      </c>
      <c r="AN71" s="27">
        <v>1.007973</v>
      </c>
      <c r="AO71" s="27">
        <v>455.15297996999999</v>
      </c>
      <c r="AP71" s="27">
        <v>406.53461700000003</v>
      </c>
      <c r="AQ71" s="27">
        <v>7</v>
      </c>
      <c r="AR71" s="27">
        <v>229.16742892229414</v>
      </c>
      <c r="AS71" s="27">
        <v>36.244999999999997</v>
      </c>
    </row>
    <row r="72" spans="1:45" x14ac:dyDescent="0.2">
      <c r="A72" s="28">
        <v>44440</v>
      </c>
      <c r="B72" s="6">
        <v>6.9076532925428404</v>
      </c>
      <c r="C72" s="4">
        <v>17.200032518406783</v>
      </c>
      <c r="D72" s="4">
        <v>14.950464687482004</v>
      </c>
      <c r="E72" s="6">
        <v>12.7418057494423</v>
      </c>
      <c r="F72" s="6">
        <v>1.7734730626802853</v>
      </c>
      <c r="G72" s="4">
        <v>12.894565307626912</v>
      </c>
      <c r="H72" s="10">
        <v>51.754140728490697</v>
      </c>
      <c r="I72" s="10">
        <v>77.161947804041887</v>
      </c>
      <c r="J72" s="10">
        <v>38.959369260260623</v>
      </c>
      <c r="K72" s="6">
        <v>51.716866897441683</v>
      </c>
      <c r="L72" s="3">
        <v>29448.187295250005</v>
      </c>
      <c r="M72" s="3">
        <v>8206.2524779071318</v>
      </c>
      <c r="N72" s="3">
        <v>2025.9106610900062</v>
      </c>
      <c r="O72" s="3">
        <v>12305.077133797658</v>
      </c>
      <c r="P72" s="3">
        <v>5193.8920660399999</v>
      </c>
      <c r="Q72" s="4">
        <v>15227.4056356</v>
      </c>
      <c r="R72" s="3">
        <v>3.5992803673551101</v>
      </c>
      <c r="S72" s="3">
        <v>0.23594154144519486</v>
      </c>
      <c r="T72" s="3">
        <v>3.8704034869312101</v>
      </c>
      <c r="U72" s="4">
        <v>113.53189180000001</v>
      </c>
      <c r="V72" s="3">
        <v>1.0043839263915999</v>
      </c>
      <c r="W72" s="3">
        <v>10729.9444</v>
      </c>
      <c r="X72" s="3">
        <v>2.09654683000096</v>
      </c>
      <c r="Y72" s="3">
        <v>8625.4600218731612</v>
      </c>
      <c r="Z72" s="3">
        <v>4258.6984085000004</v>
      </c>
      <c r="AA72" s="3">
        <v>3.5</v>
      </c>
      <c r="AB72" s="3">
        <v>5</v>
      </c>
      <c r="AC72" s="3">
        <v>64281.771551190002</v>
      </c>
      <c r="AD72" s="3">
        <v>106.91</v>
      </c>
      <c r="AE72" s="3">
        <v>-1.8016765742868159</v>
      </c>
      <c r="AF72" s="3">
        <v>3.433281182176763</v>
      </c>
      <c r="AG72" s="3">
        <v>-118.232703905143</v>
      </c>
      <c r="AH72" s="3">
        <v>20792.664212477801</v>
      </c>
      <c r="AI72" s="3">
        <v>14.219708060858629</v>
      </c>
      <c r="AJ72" s="27">
        <v>7152.25124125</v>
      </c>
      <c r="AK72" s="27">
        <v>77.16</v>
      </c>
      <c r="AL72" s="27">
        <v>0.56252000000000002</v>
      </c>
      <c r="AM72" s="27">
        <v>1.6744330000000001</v>
      </c>
      <c r="AN72" s="27">
        <v>1.0823259999999999</v>
      </c>
      <c r="AO72" s="27">
        <v>509.92045677999999</v>
      </c>
      <c r="AP72" s="27">
        <v>414.493223</v>
      </c>
      <c r="AQ72" s="27">
        <v>7</v>
      </c>
      <c r="AR72" s="27">
        <v>228.16978976127027</v>
      </c>
      <c r="AS72" s="27">
        <v>36.78</v>
      </c>
    </row>
    <row r="73" spans="1:45" x14ac:dyDescent="0.2">
      <c r="A73" s="28">
        <v>44531</v>
      </c>
      <c r="B73" s="3">
        <v>6.7954345287314499</v>
      </c>
      <c r="C73" s="4">
        <v>17.922935961972616</v>
      </c>
      <c r="D73" s="4">
        <v>15.653774701946416</v>
      </c>
      <c r="E73" s="3">
        <v>10.857623831956399</v>
      </c>
      <c r="F73" s="3">
        <v>1.8892153915914141</v>
      </c>
      <c r="G73" s="4">
        <v>13.344194262168493</v>
      </c>
      <c r="H73" s="4">
        <v>51.550851323326803</v>
      </c>
      <c r="I73" s="4">
        <v>75.715406091443242</v>
      </c>
      <c r="J73" s="4">
        <v>40.189969390998201</v>
      </c>
      <c r="K73" s="3">
        <v>56.131465002015268</v>
      </c>
      <c r="L73" s="3">
        <v>29913.466783107393</v>
      </c>
      <c r="M73" s="3">
        <v>8251.0969389378952</v>
      </c>
      <c r="N73" s="3">
        <v>2123.374965140004</v>
      </c>
      <c r="O73" s="3">
        <v>12661.80494429909</v>
      </c>
      <c r="P73" s="3">
        <v>5375.4786906999989</v>
      </c>
      <c r="Q73" s="4">
        <v>15186.574862179999</v>
      </c>
      <c r="R73" s="3">
        <v>3.4538678066919002</v>
      </c>
      <c r="S73" s="3">
        <v>1.0787066923462652</v>
      </c>
      <c r="T73" s="3">
        <v>13.359931944002176</v>
      </c>
      <c r="U73" s="4">
        <v>106.04127820000001</v>
      </c>
      <c r="V73" s="3">
        <v>0.99911163330078101</v>
      </c>
      <c r="W73" s="3">
        <v>11442.2515</v>
      </c>
      <c r="X73" s="3">
        <v>3.3630444667980299</v>
      </c>
      <c r="Y73" s="3">
        <v>9041.4230667458851</v>
      </c>
      <c r="Z73" s="3">
        <v>4293.1866438500001</v>
      </c>
      <c r="AA73" s="3">
        <v>3.75</v>
      </c>
      <c r="AB73" s="3">
        <v>5.9</v>
      </c>
      <c r="AC73" s="3">
        <v>73709.387483660001</v>
      </c>
      <c r="AD73" s="3">
        <v>101.04</v>
      </c>
      <c r="AE73" s="3">
        <v>1.3694035506086806</v>
      </c>
      <c r="AF73" s="3">
        <v>3.5992482139538553</v>
      </c>
      <c r="AG73" s="3">
        <v>-122.136219809774</v>
      </c>
      <c r="AH73" s="3">
        <v>21263.762378359101</v>
      </c>
      <c r="AI73" s="3">
        <v>14.3364651929801</v>
      </c>
      <c r="AJ73" s="27">
        <v>7029.4335153540515</v>
      </c>
      <c r="AK73" s="27">
        <v>75.72</v>
      </c>
      <c r="AL73" s="27">
        <v>0.61516499999999996</v>
      </c>
      <c r="AM73" s="27">
        <v>1.786888</v>
      </c>
      <c r="AN73" s="27">
        <v>1.229528</v>
      </c>
      <c r="AO73" s="27">
        <v>646.74923562000004</v>
      </c>
      <c r="AP73" s="27">
        <v>547.20884599999999</v>
      </c>
      <c r="AQ73" s="27">
        <v>7.25</v>
      </c>
      <c r="AR73" s="27">
        <v>228.12653835581395</v>
      </c>
      <c r="AS73" s="27">
        <v>37.314999999999998</v>
      </c>
    </row>
    <row r="74" spans="1:45" x14ac:dyDescent="0.2">
      <c r="A74" s="28">
        <v>44621</v>
      </c>
      <c r="B74" s="6">
        <v>7.3942612050976999</v>
      </c>
      <c r="C74" s="4">
        <v>18.653916679624448</v>
      </c>
      <c r="D74" s="4">
        <v>16.320986159528253</v>
      </c>
      <c r="E74" s="6">
        <v>12.3194179333923</v>
      </c>
      <c r="F74" s="6">
        <v>1.86031795417287</v>
      </c>
      <c r="G74" s="4">
        <v>12.101767914972196</v>
      </c>
      <c r="H74" s="10">
        <v>53.775803676084799</v>
      </c>
      <c r="I74" s="10">
        <v>76.949836223381467</v>
      </c>
      <c r="J74" s="10">
        <v>39.148660204698061</v>
      </c>
      <c r="K74" s="6">
        <v>53.514247689317095</v>
      </c>
      <c r="L74" s="3">
        <v>28106.882806185251</v>
      </c>
      <c r="M74" s="3">
        <v>7125.0856258677295</v>
      </c>
      <c r="N74" s="3">
        <v>2018.1792980700013</v>
      </c>
      <c r="O74" s="3">
        <v>11721.525613774438</v>
      </c>
      <c r="P74" s="3">
        <v>5468.4368302399926</v>
      </c>
      <c r="Q74" s="4">
        <v>15232.089455939997</v>
      </c>
      <c r="R74" s="3">
        <v>3.3508209197183199</v>
      </c>
      <c r="S74" s="3">
        <v>3.8179746803289616</v>
      </c>
      <c r="T74" s="3">
        <v>-6.3390565770083205</v>
      </c>
      <c r="U74" s="4">
        <v>108.1914775</v>
      </c>
      <c r="V74" s="3">
        <v>0.98307174682617204</v>
      </c>
      <c r="W74" s="3">
        <v>10767.855800000001</v>
      </c>
      <c r="X74" s="3">
        <v>1.61613452532993</v>
      </c>
      <c r="Y74" s="3">
        <v>7048.3533899529775</v>
      </c>
      <c r="Z74" s="3">
        <v>4293.1866438500001</v>
      </c>
      <c r="AA74" s="3">
        <v>4.25</v>
      </c>
      <c r="AB74" s="3">
        <v>6.5</v>
      </c>
      <c r="AC74" s="3">
        <v>75497.145330259998</v>
      </c>
      <c r="AD74" s="3">
        <v>107.89</v>
      </c>
      <c r="AE74" s="3">
        <v>1.5917994213169067</v>
      </c>
      <c r="AF74" s="3">
        <v>3.417752815993365</v>
      </c>
      <c r="AG74" s="3">
        <v>-150.62632491932601</v>
      </c>
      <c r="AH74" s="3">
        <v>19301.738843367199</v>
      </c>
      <c r="AI74" s="3">
        <v>13.600986649101307</v>
      </c>
      <c r="AJ74" s="27">
        <v>7137.5599240562833</v>
      </c>
      <c r="AK74" s="27">
        <v>76.95</v>
      </c>
      <c r="AL74" s="27">
        <v>0.59088300000000005</v>
      </c>
      <c r="AM74" s="27">
        <v>1.955225</v>
      </c>
      <c r="AN74" s="27">
        <v>1.2184079999999999</v>
      </c>
      <c r="AO74" s="27">
        <v>794.15304200000003</v>
      </c>
      <c r="AP74" s="27">
        <v>475.95654100000002</v>
      </c>
      <c r="AQ74" s="27">
        <v>7.75</v>
      </c>
      <c r="AR74" s="27">
        <v>231.41730444679422</v>
      </c>
      <c r="AS74" s="27">
        <v>37.85</v>
      </c>
    </row>
    <row r="75" spans="1:45" x14ac:dyDescent="0.2">
      <c r="A75" s="28">
        <v>44713</v>
      </c>
      <c r="B75" s="3">
        <v>6.4514137451711902</v>
      </c>
      <c r="C75" s="4">
        <v>17.644383701760034</v>
      </c>
      <c r="D75" s="4">
        <v>15.475699628516526</v>
      </c>
      <c r="E75" s="3">
        <v>11.0981909264555</v>
      </c>
      <c r="F75" s="3">
        <v>2.1223262319348173</v>
      </c>
      <c r="G75" s="4">
        <v>15.073597538683254</v>
      </c>
      <c r="H75" s="3">
        <v>53.5574003143415</v>
      </c>
      <c r="I75" s="4">
        <v>75.261641547852349</v>
      </c>
      <c r="J75" s="4">
        <v>37.647640144087973</v>
      </c>
      <c r="K75" s="3">
        <v>55.399639092989702</v>
      </c>
      <c r="L75" s="3">
        <v>30184.274774855054</v>
      </c>
      <c r="M75" s="3">
        <v>7671.3358631481024</v>
      </c>
      <c r="N75" s="3">
        <v>2074.4376243500215</v>
      </c>
      <c r="O75" s="3">
        <v>12733.079995270387</v>
      </c>
      <c r="P75" s="3">
        <v>5429.3340099300422</v>
      </c>
      <c r="Q75" s="4">
        <v>16272.87104577</v>
      </c>
      <c r="R75" s="3">
        <v>4.5999999999999996</v>
      </c>
      <c r="S75" s="3">
        <v>-8.7472415036724307</v>
      </c>
      <c r="T75" s="3">
        <v>-16.783142856016966</v>
      </c>
      <c r="U75" s="4">
        <v>112.0924495</v>
      </c>
      <c r="V75" s="3">
        <v>0.97898834228515597</v>
      </c>
      <c r="W75" s="3">
        <v>12920.665800000001</v>
      </c>
      <c r="X75" s="3">
        <v>2.75998182090136</v>
      </c>
      <c r="Y75" s="3">
        <v>8779.8488936277336</v>
      </c>
      <c r="Z75" s="3">
        <v>4315.2863438500008</v>
      </c>
      <c r="AA75" s="3">
        <v>4.75</v>
      </c>
      <c r="AB75" s="3">
        <v>7.4</v>
      </c>
      <c r="AC75" s="3">
        <v>66223.308414800005</v>
      </c>
      <c r="AD75" s="3">
        <v>107.72</v>
      </c>
      <c r="AE75" s="3">
        <v>-0.79567253627948276</v>
      </c>
      <c r="AF75" s="3">
        <v>3.6102484914316739</v>
      </c>
      <c r="AG75" s="3">
        <v>-145.87490266979</v>
      </c>
      <c r="AH75" s="3">
        <v>20888.734074528598</v>
      </c>
      <c r="AI75" s="3">
        <v>13.085662820275509</v>
      </c>
      <c r="AJ75" s="27">
        <v>7466.99404305384</v>
      </c>
      <c r="AK75" s="27">
        <v>75.260000000000005</v>
      </c>
      <c r="AL75" s="27">
        <v>0.63687899999999997</v>
      </c>
      <c r="AM75" s="27">
        <v>1.9100189999999999</v>
      </c>
      <c r="AN75" s="27">
        <v>1.100597</v>
      </c>
      <c r="AO75" s="27">
        <v>710.13274253999998</v>
      </c>
      <c r="AP75" s="27">
        <v>378.55276900000001</v>
      </c>
      <c r="AQ75" s="27">
        <v>8.25</v>
      </c>
      <c r="AR75" s="27">
        <v>232.64821865959686</v>
      </c>
      <c r="AS75" s="27">
        <v>37.797499999999999</v>
      </c>
    </row>
    <row r="76" spans="1:45" x14ac:dyDescent="0.2">
      <c r="A76" s="28">
        <v>44805</v>
      </c>
      <c r="B76" s="6">
        <v>6.7752201886352399</v>
      </c>
      <c r="C76" s="4">
        <v>16.966762619044982</v>
      </c>
      <c r="D76" s="4">
        <v>14.828677826713246</v>
      </c>
      <c r="E76" s="6">
        <v>12.686588883490799</v>
      </c>
      <c r="F76" s="6">
        <v>1.9464681732014246</v>
      </c>
      <c r="G76" s="4">
        <v>14.276269441313655</v>
      </c>
      <c r="H76" s="6">
        <v>54.347689745762402</v>
      </c>
      <c r="I76" s="6">
        <v>76.439379350233295</v>
      </c>
      <c r="J76" s="10">
        <v>32.192757076701881</v>
      </c>
      <c r="K76" s="6">
        <v>51.732908833255465</v>
      </c>
      <c r="L76" s="3">
        <v>31542.201114356401</v>
      </c>
      <c r="M76" s="3">
        <v>8671.0598473067494</v>
      </c>
      <c r="N76" s="3">
        <v>1997.0473686700054</v>
      </c>
      <c r="O76" s="3">
        <v>12239.251629281816</v>
      </c>
      <c r="P76" s="3">
        <v>5502.5848871523995</v>
      </c>
      <c r="Q76" s="4">
        <v>16618.45426486</v>
      </c>
      <c r="R76" s="3">
        <v>6.7</v>
      </c>
      <c r="S76" s="3">
        <v>3.962055650598173</v>
      </c>
      <c r="T76" s="3">
        <v>2.8475798871036706</v>
      </c>
      <c r="U76" s="4">
        <v>113.82201690000001</v>
      </c>
      <c r="V76" s="3">
        <v>0.98442863464355501</v>
      </c>
      <c r="W76" s="3">
        <v>13873.636600000003</v>
      </c>
      <c r="X76" s="3">
        <v>1.5094866161296601</v>
      </c>
      <c r="Y76" s="3">
        <v>6957.3160533903456</v>
      </c>
      <c r="Z76" s="3">
        <v>4348.2624270000006</v>
      </c>
      <c r="AA76" s="3">
        <v>6.25</v>
      </c>
      <c r="AB76" s="3">
        <v>7.5</v>
      </c>
      <c r="AC76" s="3">
        <v>63726.370842169999</v>
      </c>
      <c r="AD76" s="3">
        <v>107.99</v>
      </c>
      <c r="AE76" s="3">
        <v>1.819612484942823</v>
      </c>
      <c r="AF76" s="3">
        <v>3.6372385525638831</v>
      </c>
      <c r="AG76" s="3">
        <v>-139.45315238767199</v>
      </c>
      <c r="AH76" s="3">
        <v>21645.450593759098</v>
      </c>
      <c r="AI76" s="3">
        <v>13.004627644817294</v>
      </c>
      <c r="AJ76" s="27">
        <v>7686.9399546600598</v>
      </c>
      <c r="AK76" s="27">
        <v>76.44</v>
      </c>
      <c r="AL76" s="27">
        <v>0.67419499999999999</v>
      </c>
      <c r="AM76" s="27">
        <v>2.0459900000000002</v>
      </c>
      <c r="AN76" s="27">
        <v>1.176291</v>
      </c>
      <c r="AO76" s="27">
        <v>806.0704285700001</v>
      </c>
      <c r="AP76" s="27">
        <v>419.870698</v>
      </c>
      <c r="AQ76" s="27">
        <v>9.75</v>
      </c>
      <c r="AR76" s="27">
        <v>241.73428443831392</v>
      </c>
      <c r="AS76" s="27">
        <v>37.744999999999997</v>
      </c>
    </row>
    <row r="77" spans="1:45" x14ac:dyDescent="0.2">
      <c r="A77" s="28">
        <v>44896</v>
      </c>
      <c r="B77" s="3">
        <v>6.6066404720033596</v>
      </c>
      <c r="C77" s="4">
        <v>18.397179665108148</v>
      </c>
      <c r="D77" s="4">
        <v>16.194909128246508</v>
      </c>
      <c r="E77" s="3">
        <v>11.3078737507853</v>
      </c>
      <c r="F77" s="3">
        <v>2.7639479166037297</v>
      </c>
      <c r="G77" s="4">
        <v>14.774819276142562</v>
      </c>
      <c r="H77" s="3">
        <v>55.160963333664697</v>
      </c>
      <c r="I77" s="3">
        <v>75.94404197572284</v>
      </c>
      <c r="J77" s="4">
        <v>38.110378710662062</v>
      </c>
      <c r="K77" s="3">
        <v>54.618160437171568</v>
      </c>
      <c r="L77" s="3">
        <v>32009.487939661201</v>
      </c>
      <c r="M77" s="3">
        <v>8009.0834037398145</v>
      </c>
      <c r="N77" s="3">
        <v>1999.6941499799971</v>
      </c>
      <c r="O77" s="3">
        <v>13283.758749349639</v>
      </c>
      <c r="P77" s="3">
        <v>5705.8465068823598</v>
      </c>
      <c r="Q77" s="4">
        <v>16962.364544929998</v>
      </c>
      <c r="R77" s="3">
        <v>5.6</v>
      </c>
      <c r="S77" s="3">
        <v>0.66460817048534793</v>
      </c>
      <c r="T77" s="3">
        <v>-2.9078149234778219</v>
      </c>
      <c r="U77" s="4">
        <v>111.80841825329999</v>
      </c>
      <c r="V77" s="3">
        <v>1.0001501464843801</v>
      </c>
      <c r="W77" s="3">
        <v>14390.094230000002</v>
      </c>
      <c r="X77" s="3">
        <v>4.0820955103355461</v>
      </c>
      <c r="Y77" s="3">
        <v>7656.4169183088534</v>
      </c>
      <c r="Z77" s="3">
        <v>4364</v>
      </c>
      <c r="AA77" s="3">
        <v>7</v>
      </c>
      <c r="AB77" s="3">
        <v>7.2</v>
      </c>
      <c r="AC77" s="3">
        <v>73048.568806209994</v>
      </c>
      <c r="AD77" s="3">
        <v>104.62</v>
      </c>
      <c r="AE77" s="3">
        <v>-1.2528368023618413</v>
      </c>
      <c r="AF77" s="3">
        <v>3.6038477349258162</v>
      </c>
      <c r="AG77" s="3">
        <v>-130.83000000000001</v>
      </c>
      <c r="AH77" s="3">
        <v>22033.7811602289</v>
      </c>
      <c r="AI77" s="3">
        <v>13.468943773753184</v>
      </c>
      <c r="AJ77" s="27">
        <v>7793.16196287</v>
      </c>
      <c r="AK77" s="27">
        <v>75.94</v>
      </c>
      <c r="AL77" s="27">
        <v>0.776223</v>
      </c>
      <c r="AM77" s="27">
        <v>2.1062080000000001</v>
      </c>
      <c r="AN77" s="27">
        <v>1.289066</v>
      </c>
      <c r="AO77" s="27">
        <v>924.14055367999993</v>
      </c>
      <c r="AP77" s="27">
        <v>586.79901800000005</v>
      </c>
      <c r="AQ77" s="27">
        <v>10.5</v>
      </c>
      <c r="AR77" s="27">
        <v>248.96346432502364</v>
      </c>
      <c r="AS77" s="27">
        <v>37.692500000000003</v>
      </c>
    </row>
    <row r="78" spans="1:45" x14ac:dyDescent="0.2">
      <c r="A78" s="28">
        <v>44986</v>
      </c>
      <c r="B78" s="6">
        <v>7.2407538223879939</v>
      </c>
      <c r="C78" s="6">
        <v>18.554577128847619</v>
      </c>
      <c r="D78" s="6">
        <v>16.307791811946657</v>
      </c>
      <c r="E78" s="6">
        <v>12.4</v>
      </c>
      <c r="F78" s="6">
        <v>2.8893847253830085</v>
      </c>
      <c r="G78" s="6">
        <v>13.648409621045968</v>
      </c>
      <c r="H78" s="6">
        <v>58.910123851306771</v>
      </c>
      <c r="I78" s="6">
        <v>62.104275076984116</v>
      </c>
      <c r="J78" s="6">
        <v>25.62515864278086</v>
      </c>
      <c r="K78" s="1">
        <v>53.209627534284408</v>
      </c>
      <c r="L78" s="1">
        <v>30809.945581099993</v>
      </c>
      <c r="M78" s="13">
        <v>7343.49227714677</v>
      </c>
      <c r="N78" s="13">
        <v>1992.5201517400051</v>
      </c>
      <c r="O78" s="13">
        <v>11727.533385243225</v>
      </c>
      <c r="P78">
        <v>5794928.8804899938</v>
      </c>
      <c r="Q78">
        <v>17129860.78221</v>
      </c>
      <c r="R78" s="15">
        <v>5.5827473902692493</v>
      </c>
      <c r="S78" s="3">
        <v>2.3518382730626897</v>
      </c>
      <c r="T78" s="3">
        <v>-1.2052677162709364</v>
      </c>
      <c r="U78" s="4">
        <v>111.59854346670002</v>
      </c>
      <c r="V78" s="3">
        <v>1.0003</v>
      </c>
      <c r="W78" s="18">
        <v>15118.609234</v>
      </c>
      <c r="X78" s="21">
        <v>1.088038436941523</v>
      </c>
      <c r="Y78" s="3">
        <v>7668.4386443701451</v>
      </c>
      <c r="Z78" s="3">
        <v>4302.3465809999998</v>
      </c>
      <c r="AA78" s="3">
        <v>7.75</v>
      </c>
      <c r="AB78" s="3">
        <v>7.1</v>
      </c>
      <c r="AC78" s="3">
        <v>76100.17</v>
      </c>
      <c r="AD78" s="3">
        <v>103.71210000000001</v>
      </c>
      <c r="AE78" s="3">
        <v>0.63038497698342666</v>
      </c>
      <c r="AF78" s="3">
        <v>3.6048562410604106</v>
      </c>
      <c r="AG78" s="3">
        <v>-112.876</v>
      </c>
      <c r="AH78" s="3">
        <v>20105.639419856299</v>
      </c>
      <c r="AI78" s="3">
        <v>13.668936202748327</v>
      </c>
      <c r="AJ78" s="27">
        <v>7643.82492378189</v>
      </c>
      <c r="AK78" s="27">
        <v>76.989999999999995</v>
      </c>
      <c r="AL78" s="27">
        <v>0.81022300000000003</v>
      </c>
      <c r="AM78" s="27">
        <v>2.1402079999999999</v>
      </c>
      <c r="AN78" s="27">
        <v>1.3230660000000001</v>
      </c>
      <c r="AO78" s="27">
        <v>924.17455367999992</v>
      </c>
      <c r="AP78" s="27">
        <v>586.83301800000004</v>
      </c>
      <c r="AQ78" s="27"/>
      <c r="AR78" s="27">
        <v>251.60751742149742</v>
      </c>
      <c r="AS78" s="27">
        <v>37.64</v>
      </c>
    </row>
    <row r="79" spans="1:45" x14ac:dyDescent="0.2">
      <c r="A79" s="28">
        <v>45078</v>
      </c>
      <c r="B79" s="6">
        <v>7.1425736597558087</v>
      </c>
      <c r="C79" s="6">
        <v>18.038595545709533</v>
      </c>
      <c r="D79" s="6">
        <v>15.871037771023946</v>
      </c>
      <c r="E79" s="6">
        <v>12.768639099185567</v>
      </c>
      <c r="F79" s="6">
        <v>3.2636787796834792</v>
      </c>
      <c r="G79" s="6">
        <v>15.776087230350978</v>
      </c>
      <c r="H79" s="6">
        <v>58.555756188696407</v>
      </c>
      <c r="I79" s="6">
        <v>64.731676270831912</v>
      </c>
      <c r="J79" s="6">
        <v>23.974518107411271</v>
      </c>
      <c r="K79" s="1">
        <v>52.778040940639194</v>
      </c>
      <c r="L79" s="1">
        <v>30738.392632240993</v>
      </c>
      <c r="M79" s="3">
        <v>7815.4890054814286</v>
      </c>
      <c r="N79" s="3">
        <v>2018.8609243700073</v>
      </c>
      <c r="O79" s="3">
        <v>11669.190099651198</v>
      </c>
      <c r="P79" s="13">
        <v>5813.4042061199998</v>
      </c>
      <c r="Q79" s="14">
        <v>17647.240782369998</v>
      </c>
      <c r="R79" s="15">
        <v>5.3</v>
      </c>
      <c r="S79" s="3">
        <v>1.2036757027543699</v>
      </c>
      <c r="T79" s="3">
        <v>4.1765598106702662</v>
      </c>
      <c r="U79" s="4">
        <v>108.44710710000001</v>
      </c>
      <c r="V79" s="3">
        <v>1.0244</v>
      </c>
      <c r="W79" s="18">
        <v>15870.889722</v>
      </c>
      <c r="X79" s="21">
        <v>1.3380148665451679</v>
      </c>
      <c r="Y79" s="3">
        <v>6923.929906892984</v>
      </c>
      <c r="Z79" s="3">
        <v>4302.3465809999998</v>
      </c>
      <c r="AA79" s="3">
        <v>8.25</v>
      </c>
      <c r="AB79" s="3">
        <v>5.4</v>
      </c>
      <c r="AC79" s="24">
        <v>76027.83</v>
      </c>
      <c r="AD79" s="3">
        <v>100.71559999999999</v>
      </c>
      <c r="AE79" s="3">
        <v>0.68990827288904311</v>
      </c>
      <c r="AF79" s="3">
        <v>3.6920065880805626</v>
      </c>
      <c r="AG79" s="3">
        <v>-99.299127791900005</v>
      </c>
      <c r="AH79" s="3">
        <v>20420.205613698101</v>
      </c>
      <c r="AI79" s="3">
        <v>13.52</v>
      </c>
      <c r="AJ79" s="27">
        <v>8208.4513604821095</v>
      </c>
      <c r="AK79" s="27">
        <v>75.25</v>
      </c>
      <c r="AL79" s="27">
        <v>0.84422300000000006</v>
      </c>
      <c r="AM79" s="27">
        <v>2.1742079999999997</v>
      </c>
      <c r="AN79" s="27">
        <v>1.3570660000000001</v>
      </c>
      <c r="AO79" s="27">
        <v>924.20855367999991</v>
      </c>
      <c r="AP79" s="27">
        <v>586.86701800000003</v>
      </c>
      <c r="AQ79" s="27"/>
      <c r="AR79" s="27">
        <v>255.18835090348833</v>
      </c>
      <c r="AS79" s="27">
        <v>37.64</v>
      </c>
    </row>
    <row r="80" spans="1:45" ht="16" x14ac:dyDescent="0.2">
      <c r="A80" s="28">
        <v>45170</v>
      </c>
      <c r="B80" s="6">
        <v>7.4055405142447572</v>
      </c>
      <c r="C80" s="6">
        <v>18.210847156492228</v>
      </c>
      <c r="D80" s="6">
        <v>16.033958079199049</v>
      </c>
      <c r="E80" s="6">
        <v>13.205951304943097</v>
      </c>
      <c r="F80" s="6">
        <v>3.382509391976718</v>
      </c>
      <c r="G80" s="6">
        <v>16.39056726354471</v>
      </c>
      <c r="H80" s="6">
        <v>58.412704914851879</v>
      </c>
      <c r="I80" s="6">
        <v>64.032631374381609</v>
      </c>
      <c r="J80" s="6">
        <v>24.885383742426338</v>
      </c>
      <c r="K80" s="1">
        <v>52.067706328241037</v>
      </c>
      <c r="L80" s="1">
        <v>32409.373973839156</v>
      </c>
      <c r="M80" s="3">
        <v>8408.8647198009676</v>
      </c>
      <c r="N80" s="3">
        <v>2166.5250534899969</v>
      </c>
      <c r="O80" s="3">
        <v>12480.856623497844</v>
      </c>
      <c r="P80" s="13">
        <v>5931.7433284500003</v>
      </c>
      <c r="Q80" s="14">
        <v>17761.214318269984</v>
      </c>
      <c r="R80" s="15">
        <v>3.4887371949711588</v>
      </c>
      <c r="S80" s="3">
        <v>2.3895363716909257</v>
      </c>
      <c r="T80" s="3">
        <v>12.263769756567868</v>
      </c>
      <c r="U80" s="4">
        <v>113.729601</v>
      </c>
      <c r="V80" s="3">
        <v>1.0244</v>
      </c>
      <c r="W80" s="19">
        <v>16409.492336999996</v>
      </c>
      <c r="X80" s="22">
        <v>1.6296251608082308</v>
      </c>
      <c r="Y80" s="3">
        <v>7662.0307170050119</v>
      </c>
      <c r="Z80" s="3">
        <v>4302.3465809999998</v>
      </c>
      <c r="AA80" s="3">
        <v>8.25</v>
      </c>
      <c r="AB80" s="3">
        <v>5.4</v>
      </c>
      <c r="AC80" s="3">
        <v>72382.89</v>
      </c>
      <c r="AD80" s="3">
        <v>103.1229</v>
      </c>
      <c r="AE80" s="3">
        <v>-0.41209648883002981</v>
      </c>
      <c r="AF80" s="3">
        <v>3.624704808032841</v>
      </c>
      <c r="AG80" s="3">
        <v>-114.97808893657999</v>
      </c>
      <c r="AH80" s="3">
        <v>22042.873548842799</v>
      </c>
      <c r="AI80" s="3">
        <v>13.2</v>
      </c>
      <c r="AJ80" s="27">
        <v>8304.5323968205594</v>
      </c>
      <c r="AK80" s="27">
        <v>76.056998107544686</v>
      </c>
      <c r="AL80" s="27">
        <v>0.87822300000000009</v>
      </c>
      <c r="AM80" s="27">
        <v>2.2082079999999995</v>
      </c>
      <c r="AN80" s="27">
        <v>1.3910660000000001</v>
      </c>
      <c r="AO80" s="27">
        <v>924.2425536799999</v>
      </c>
      <c r="AP80" s="27">
        <v>586.90101800000002</v>
      </c>
      <c r="AQ80" s="27"/>
      <c r="AR80" s="27">
        <v>256.63378280638398</v>
      </c>
      <c r="AS80" s="27">
        <v>37.64</v>
      </c>
    </row>
    <row r="81" spans="1:45" x14ac:dyDescent="0.2">
      <c r="A81" s="28">
        <v>45261</v>
      </c>
      <c r="B81" s="6">
        <v>6.8250380922006695</v>
      </c>
      <c r="C81" s="6">
        <v>18.474938493618119</v>
      </c>
      <c r="D81" s="6">
        <v>16.474546485479973</v>
      </c>
      <c r="E81" s="6">
        <v>11.57003178003067</v>
      </c>
      <c r="F81" s="6">
        <v>3.44193958849272</v>
      </c>
      <c r="G81" s="6">
        <v>16.807648312756491</v>
      </c>
      <c r="H81" s="6">
        <v>58.078598928786143</v>
      </c>
      <c r="I81" s="6">
        <v>64.359715786687616</v>
      </c>
      <c r="J81" s="6">
        <v>26.41166937284747</v>
      </c>
      <c r="K81" s="1">
        <v>54.952776975367925</v>
      </c>
      <c r="L81" s="1">
        <v>34165.863137056134</v>
      </c>
      <c r="M81" s="3">
        <v>8251.0969389378952</v>
      </c>
      <c r="N81" s="3">
        <v>2123.374965140004</v>
      </c>
      <c r="O81" s="3">
        <v>12661.80494429909</v>
      </c>
      <c r="P81" s="13">
        <v>5375.4786906999998</v>
      </c>
      <c r="Q81" s="14">
        <v>18663.89664485</v>
      </c>
      <c r="R81" s="15">
        <v>4.3111516229708657</v>
      </c>
      <c r="S81" s="3">
        <v>0.84772389201626108</v>
      </c>
      <c r="T81" s="3">
        <v>7.3071593533487302</v>
      </c>
      <c r="U81" s="4">
        <v>112.83</v>
      </c>
      <c r="V81" s="3">
        <v>1</v>
      </c>
      <c r="W81" s="20">
        <v>16040.573407000002</v>
      </c>
      <c r="X81" s="21">
        <v>3.2031186513645977</v>
      </c>
      <c r="Y81" s="3">
        <v>8819.1990330263343</v>
      </c>
      <c r="Z81" s="3">
        <v>4771.66</v>
      </c>
      <c r="AA81" s="3">
        <v>8.25</v>
      </c>
      <c r="AB81" s="3">
        <v>5.0999999999999996</v>
      </c>
      <c r="AC81" s="3">
        <v>76893.149999999994</v>
      </c>
      <c r="AD81" s="3">
        <v>105.2</v>
      </c>
      <c r="AE81" s="3">
        <v>0.34699592086439679</v>
      </c>
      <c r="AF81" s="3">
        <v>3.7474715298240024</v>
      </c>
      <c r="AG81" s="3">
        <v>-102.3</v>
      </c>
      <c r="AH81" s="3">
        <v>23420.877</v>
      </c>
      <c r="AI81" s="3">
        <v>13.2</v>
      </c>
      <c r="AJ81" s="26">
        <v>8854</v>
      </c>
      <c r="AK81" s="26">
        <v>76.27</v>
      </c>
      <c r="AL81" s="26">
        <v>0.91222300000000012</v>
      </c>
      <c r="AM81" s="26">
        <v>2.2422079999999993</v>
      </c>
      <c r="AN81" s="26">
        <v>1.4250660000000002</v>
      </c>
      <c r="AO81" s="26">
        <v>924.27655367999989</v>
      </c>
      <c r="AP81" s="26">
        <v>586.93501800000001</v>
      </c>
      <c r="AQ81" s="26"/>
      <c r="AR81" s="26">
        <v>259.54015298390942</v>
      </c>
      <c r="AS81" s="26">
        <v>37.64</v>
      </c>
    </row>
    <row r="82" spans="1:45" x14ac:dyDescent="0.2">
      <c r="A82" s="28">
        <v>45352</v>
      </c>
      <c r="B82" s="6">
        <v>7.1285135173395995</v>
      </c>
      <c r="C82" s="6">
        <v>18.381941344540508</v>
      </c>
      <c r="D82" s="6">
        <v>16.245426316004259</v>
      </c>
      <c r="E82" s="6">
        <v>13.517669248561742</v>
      </c>
      <c r="F82" s="6">
        <v>3.1878972209007963</v>
      </c>
      <c r="G82" s="6">
        <v>15.072203579112262</v>
      </c>
      <c r="H82" s="6">
        <v>59.261514447255294</v>
      </c>
      <c r="I82" s="6">
        <v>66.604892198515515</v>
      </c>
      <c r="J82" s="6">
        <v>24.061927261937797</v>
      </c>
      <c r="K82" s="1">
        <v>51.158607756525186</v>
      </c>
      <c r="L82" s="1">
        <v>32443.663457550036</v>
      </c>
      <c r="M82" s="3">
        <v>7917.4808295692346</v>
      </c>
      <c r="N82" s="3">
        <v>2069.1860593399961</v>
      </c>
      <c r="O82" s="3">
        <v>12115.797697501022</v>
      </c>
      <c r="P82" s="13">
        <v>6068.9149076199992</v>
      </c>
      <c r="Q82" s="14">
        <v>18921.967970779984</v>
      </c>
      <c r="R82" s="15">
        <v>4.0999999999999996</v>
      </c>
      <c r="S82" s="3">
        <v>1.251452132323557</v>
      </c>
      <c r="T82" s="3">
        <v>8.5890738233654531</v>
      </c>
      <c r="U82" s="4">
        <v>112.0080892</v>
      </c>
      <c r="V82" s="3">
        <v>1.01</v>
      </c>
      <c r="W82" s="20">
        <v>16040.573407000002</v>
      </c>
      <c r="X82" s="21">
        <v>2.9661339338832686</v>
      </c>
      <c r="Y82" s="3">
        <v>7869.8406273569735</v>
      </c>
      <c r="Z82" s="3">
        <v>4897.2300000000005</v>
      </c>
      <c r="AA82" s="3">
        <v>8.25</v>
      </c>
      <c r="AB82" s="3">
        <v>5.3</v>
      </c>
      <c r="AC82" s="24">
        <v>74535.990000000005</v>
      </c>
      <c r="AD82" s="3">
        <v>104.11454266666665</v>
      </c>
      <c r="AE82" s="3">
        <v>2.8815003436568801E-2</v>
      </c>
      <c r="AF82" s="3">
        <v>3.8177112367603727</v>
      </c>
      <c r="AG82" s="3">
        <v>-106.11</v>
      </c>
      <c r="AH82" s="3">
        <v>20927</v>
      </c>
      <c r="AI82" s="3">
        <v>13.2</v>
      </c>
      <c r="AJ82" s="27">
        <v>8775</v>
      </c>
      <c r="AK82" s="27">
        <v>79</v>
      </c>
      <c r="AL82" s="27">
        <v>0.94622300000000015</v>
      </c>
      <c r="AM82" s="27">
        <v>2.2762079999999991</v>
      </c>
      <c r="AN82" s="27">
        <v>1.4590660000000002</v>
      </c>
      <c r="AO82" s="27">
        <v>924.31055367999988</v>
      </c>
      <c r="AP82" s="27">
        <v>586.96901800000001</v>
      </c>
      <c r="AQ82" s="27"/>
      <c r="AR82" s="27">
        <v>262.29212681034682</v>
      </c>
      <c r="AS82" s="27">
        <v>37.64</v>
      </c>
    </row>
    <row r="83" spans="1:45" ht="16" thickBot="1" x14ac:dyDescent="0.25">
      <c r="A83" s="28">
        <v>45444</v>
      </c>
      <c r="B83" s="6">
        <v>6.729854403001295</v>
      </c>
      <c r="C83" s="6">
        <v>17.367865738594379</v>
      </c>
      <c r="D83" s="6">
        <v>15.403583671771129</v>
      </c>
      <c r="E83" s="6">
        <v>14.128621400735778</v>
      </c>
      <c r="F83" s="6">
        <v>3.1171718229218928</v>
      </c>
      <c r="G83" s="6">
        <v>14.920032640075293</v>
      </c>
      <c r="H83" s="6">
        <v>58.640446186023496</v>
      </c>
      <c r="I83" s="6">
        <v>65.994808907612438</v>
      </c>
      <c r="J83" s="6">
        <v>21.949273876068219</v>
      </c>
      <c r="K83" s="1">
        <v>48.186557577050174</v>
      </c>
      <c r="L83" s="1">
        <v>33835.271751988614</v>
      </c>
      <c r="M83" s="3">
        <v>8677.5121942900241</v>
      </c>
      <c r="N83" s="3">
        <v>2163.2583220699776</v>
      </c>
      <c r="O83" s="3">
        <v>12920.432551099999</v>
      </c>
      <c r="P83" s="13">
        <v>6103.3333803353007</v>
      </c>
      <c r="Q83" s="14">
        <v>19832.772016240611</v>
      </c>
      <c r="R83" s="16">
        <v>4.4000000000000004</v>
      </c>
      <c r="S83" s="15">
        <v>1.2769480312372536</v>
      </c>
      <c r="T83" s="3">
        <v>21.080114677072551</v>
      </c>
      <c r="U83" s="4">
        <v>109.62057724</v>
      </c>
      <c r="V83" s="3">
        <v>1.03</v>
      </c>
      <c r="W83" s="20">
        <v>15533.099485999999</v>
      </c>
      <c r="X83" s="21">
        <v>2.8275471940271424</v>
      </c>
      <c r="Y83" s="3">
        <v>8056.4778196531788</v>
      </c>
      <c r="Z83" s="3">
        <v>4771.66</v>
      </c>
      <c r="AA83" s="3">
        <v>8.25</v>
      </c>
      <c r="AB83" s="3">
        <v>5.0999999999999996</v>
      </c>
      <c r="AC83" s="3">
        <v>79707.11</v>
      </c>
      <c r="AD83" s="3">
        <v>108.5526352</v>
      </c>
      <c r="AE83" s="3">
        <v>0.3440425398948162</v>
      </c>
      <c r="AF83" s="3">
        <v>3.9903639404316316</v>
      </c>
      <c r="AG83" s="3">
        <v>-107.2</v>
      </c>
      <c r="AH83" s="3">
        <v>22551</v>
      </c>
      <c r="AI83" s="3">
        <v>13.2</v>
      </c>
      <c r="AJ83" s="27">
        <v>9577</v>
      </c>
      <c r="AK83" s="27">
        <v>78.2</v>
      </c>
      <c r="AL83" s="27">
        <v>0.98022300000000018</v>
      </c>
      <c r="AM83" s="27">
        <v>2.3102079999999989</v>
      </c>
      <c r="AN83" s="27">
        <v>1.4930660000000002</v>
      </c>
      <c r="AO83" s="27">
        <v>924.34455367999988</v>
      </c>
      <c r="AP83" s="27">
        <v>587.003018</v>
      </c>
      <c r="AQ83" s="27"/>
      <c r="AR83" s="27">
        <v>263.9394123013592</v>
      </c>
      <c r="AS83" s="27">
        <v>37.64</v>
      </c>
    </row>
    <row r="84" spans="1:45" x14ac:dyDescent="0.2">
      <c r="A84" s="5"/>
      <c r="B84" s="6"/>
      <c r="C84" s="6"/>
      <c r="D84" s="6"/>
      <c r="E84" s="6"/>
      <c r="F84" s="6"/>
      <c r="G84" s="6"/>
      <c r="H84" s="6"/>
      <c r="I84" s="6"/>
      <c r="J84" s="6"/>
      <c r="K84" s="1"/>
      <c r="W84" s="20"/>
      <c r="AC84" s="3"/>
      <c r="AD84" s="3"/>
      <c r="AE84" s="3"/>
      <c r="AF84" s="3"/>
      <c r="AG84" s="3"/>
      <c r="AH84" s="3"/>
      <c r="AI84" s="3"/>
    </row>
    <row r="85" spans="1:45" x14ac:dyDescent="0.2">
      <c r="A85" s="5"/>
      <c r="B85" s="6"/>
      <c r="C85" s="6"/>
      <c r="D85" s="6"/>
      <c r="E85" s="6"/>
      <c r="F85" s="6"/>
      <c r="G85" s="6"/>
      <c r="H85" s="6"/>
      <c r="I85" s="6"/>
      <c r="J85" s="6"/>
      <c r="K85" s="1"/>
      <c r="N85" s="3"/>
      <c r="V85" s="3"/>
    </row>
    <row r="86" spans="1:45" x14ac:dyDescent="0.2">
      <c r="AA86" s="1"/>
      <c r="AB86" s="17"/>
    </row>
    <row r="87" spans="1:45" x14ac:dyDescent="0.2">
      <c r="E87" s="23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Dlamini Sanele R.</dc:creator>
  <cp:lastModifiedBy>Dlamini Sanele R.</cp:lastModifiedBy>
  <dcterms:created xsi:type="dcterms:W3CDTF">2023-07-17T06:07:38Z</dcterms:created>
  <dcterms:modified xsi:type="dcterms:W3CDTF">2025-03-07T13:55:49Z</dcterms:modified>
</cp:coreProperties>
</file>